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3"/>
  </bookViews>
  <sheets>
    <sheet name="浙江仓1月每日库存" sheetId="8" r:id="rId1"/>
    <sheet name="浙江仓2月每日库存 " sheetId="9" r:id="rId2"/>
    <sheet name="浙江仓3月每日库存  " sheetId="10" r:id="rId3"/>
    <sheet name="浙江仓4月每日库存" sheetId="11" r:id="rId4"/>
  </sheets>
  <definedNames>
    <definedName name="_xlnm._FilterDatabase" localSheetId="0" hidden="1">浙江仓1月每日库存!$A$1:$AO$101</definedName>
    <definedName name="_xlnm._FilterDatabase" localSheetId="1" hidden="1">'浙江仓2月每日库存 '!$A$1:$AN$103</definedName>
    <definedName name="_xlnm._FilterDatabase" localSheetId="2" hidden="1">'浙江仓3月每日库存  '!$A$1:$AN$116</definedName>
    <definedName name="_xlnm._FilterDatabase" localSheetId="3" hidden="1">浙江仓4月每日库存!$A$1:$AN$107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L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L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H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发往太仓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0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太仓</t>
        </r>
      </text>
    </comment>
    <comment ref="P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Q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R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R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移入WOO库</t>
        </r>
      </text>
    </comment>
    <comment ref="G19" authorId="0">
      <text>
        <r>
          <rPr>
            <sz val="9"/>
            <rFont val="宋体"/>
            <charset val="134"/>
          </rPr>
          <t xml:space="preserve">移库太仓
</t>
        </r>
      </text>
    </comment>
    <comment ref="U20" authorId="0">
      <text>
        <r>
          <rPr>
            <sz val="9"/>
            <rFont val="宋体"/>
            <charset val="134"/>
          </rPr>
          <t>移库太仓</t>
        </r>
      </text>
    </comment>
    <comment ref="L21" authorId="0">
      <text>
        <r>
          <rPr>
            <sz val="9"/>
            <rFont val="宋体"/>
            <charset val="134"/>
          </rPr>
          <t xml:space="preserve">太仓移库
</t>
        </r>
      </text>
    </comment>
    <comment ref="AG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太仓移仓</t>
        </r>
      </text>
    </comment>
    <comment ref="AC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移仓太仓</t>
        </r>
      </text>
    </comment>
    <comment ref="O27" authorId="0">
      <text>
        <r>
          <rPr>
            <sz val="9"/>
            <rFont val="宋体"/>
            <charset val="134"/>
          </rPr>
          <t>发海外</t>
        </r>
      </text>
    </comment>
    <comment ref="AC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移仓太仓</t>
        </r>
      </text>
    </comment>
    <comment ref="AA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移库W00库</t>
        </r>
      </text>
    </comment>
    <comment ref="V33" authorId="0">
      <text>
        <r>
          <rPr>
            <sz val="9"/>
            <rFont val="宋体"/>
            <charset val="134"/>
          </rPr>
          <t>太仓移仓1954箱</t>
        </r>
      </text>
    </comment>
    <comment ref="V34" authorId="0">
      <text>
        <r>
          <rPr>
            <sz val="9"/>
            <rFont val="宋体"/>
            <charset val="134"/>
          </rPr>
          <t>太仓移库</t>
        </r>
      </text>
    </comment>
    <comment ref="N40" authorId="0">
      <text>
        <r>
          <rPr>
            <sz val="9"/>
            <rFont val="宋体"/>
            <charset val="134"/>
          </rPr>
          <t>太仓移库</t>
        </r>
      </text>
    </comment>
    <comment ref="H47" authorId="0">
      <text>
        <r>
          <rPr>
            <sz val="9"/>
            <rFont val="宋体"/>
            <charset val="134"/>
          </rPr>
          <t>太仓移库</t>
        </r>
      </text>
    </comment>
    <comment ref="Q48" authorId="0">
      <text>
        <r>
          <rPr>
            <sz val="9"/>
            <rFont val="宋体"/>
            <charset val="134"/>
          </rPr>
          <t>移库太仓</t>
        </r>
      </text>
    </comment>
    <comment ref="N51" authorId="0">
      <text>
        <r>
          <rPr>
            <sz val="9"/>
            <rFont val="宋体"/>
            <charset val="134"/>
          </rPr>
          <t>太仓移库</t>
        </r>
      </text>
    </comment>
    <comment ref="P54" authorId="0">
      <text>
        <r>
          <rPr>
            <sz val="9"/>
            <rFont val="宋体"/>
            <charset val="134"/>
          </rPr>
          <t>发海外</t>
        </r>
      </text>
    </comment>
    <comment ref="K58" authorId="0">
      <text>
        <r>
          <rPr>
            <sz val="9"/>
            <rFont val="宋体"/>
            <charset val="134"/>
          </rPr>
          <t>海外移库</t>
        </r>
      </text>
    </comment>
    <comment ref="O58" authorId="0">
      <text>
        <r>
          <rPr>
            <sz val="9"/>
            <rFont val="宋体"/>
            <charset val="134"/>
          </rPr>
          <t>发海外</t>
        </r>
      </text>
    </comment>
  </commentList>
</comments>
</file>

<file path=xl/sharedStrings.xml><?xml version="1.0" encoding="utf-8"?>
<sst xmlns="http://schemas.openxmlformats.org/spreadsheetml/2006/main" count="821" uniqueCount="351">
  <si>
    <t>代码</t>
  </si>
  <si>
    <t>名称</t>
  </si>
  <si>
    <t>批号</t>
  </si>
  <si>
    <t>入库数量</t>
  </si>
  <si>
    <t>入库日期</t>
  </si>
  <si>
    <t>出库数量</t>
  </si>
  <si>
    <t>12.26日出库</t>
  </si>
  <si>
    <t>12.27日出库</t>
  </si>
  <si>
    <t>12.28日出库</t>
  </si>
  <si>
    <t>12.29日出库</t>
  </si>
  <si>
    <t>12.30日出库</t>
  </si>
  <si>
    <t>12.31日出库</t>
  </si>
  <si>
    <t>1.1日出库</t>
  </si>
  <si>
    <t>1.2日出库</t>
  </si>
  <si>
    <t>1.3日出库</t>
  </si>
  <si>
    <t>1.4日出库</t>
  </si>
  <si>
    <t>1.5日出库</t>
  </si>
  <si>
    <t>1.6日出库</t>
  </si>
  <si>
    <t>1.7日出库</t>
  </si>
  <si>
    <t>1.8日出库</t>
  </si>
  <si>
    <t>1.9日出库</t>
  </si>
  <si>
    <t>1.10日出库</t>
  </si>
  <si>
    <t>1.11日出库</t>
  </si>
  <si>
    <t>1.12日出库</t>
  </si>
  <si>
    <t>1.13日出库</t>
  </si>
  <si>
    <t>1.14日出库</t>
  </si>
  <si>
    <t>1.15日出库</t>
  </si>
  <si>
    <t>1.16日出库</t>
  </si>
  <si>
    <t>1.17日出库</t>
  </si>
  <si>
    <t>1.18日出库</t>
  </si>
  <si>
    <t>1.19日出库</t>
  </si>
  <si>
    <t>1.20日出库</t>
  </si>
  <si>
    <t>1.21日出库</t>
  </si>
  <si>
    <t>1.22日出库</t>
  </si>
  <si>
    <t>1.23日出库</t>
  </si>
  <si>
    <t>1.24日出库</t>
  </si>
  <si>
    <t>1.25日出库</t>
  </si>
  <si>
    <t>1.26日出库</t>
  </si>
  <si>
    <t>1.27日出库</t>
  </si>
  <si>
    <t>库存数</t>
  </si>
  <si>
    <t>库存箱数</t>
  </si>
  <si>
    <t>六神花露水195ML</t>
  </si>
  <si>
    <t>20290612ELMEVEZ</t>
  </si>
  <si>
    <t>25.12.25</t>
  </si>
  <si>
    <t>20290613ELNEWEZ</t>
  </si>
  <si>
    <t>20290616ELQEYEZ</t>
  </si>
  <si>
    <t>20290617ELREZEZ</t>
  </si>
  <si>
    <t>20290618ELSFAEZ</t>
  </si>
  <si>
    <t>20290619ELUFCEZ</t>
  </si>
  <si>
    <t>20290620ELYFCEZ</t>
  </si>
  <si>
    <t>20290531ELAZZEZ</t>
  </si>
  <si>
    <t>25.12.31</t>
  </si>
  <si>
    <t>20290601ELBEMEZ</t>
  </si>
  <si>
    <t>20290602ELCENEZ</t>
  </si>
  <si>
    <t>20290604ELEEOEZ</t>
  </si>
  <si>
    <t>20290605ELFEPEZ</t>
  </si>
  <si>
    <t>20290611ELLEUEZ</t>
  </si>
  <si>
    <t>20290622ELWFEEZ</t>
  </si>
  <si>
    <t>20290623ELXFFEZ</t>
  </si>
  <si>
    <t>六神180ML止痒花露水喷雾</t>
  </si>
  <si>
    <t>20290606ELGASEZ</t>
  </si>
  <si>
    <t>25.12.30</t>
  </si>
  <si>
    <t>20290607ELHATEZ</t>
  </si>
  <si>
    <t>20290608ELIAUEZ</t>
  </si>
  <si>
    <t>20290609ELJAVEZ</t>
  </si>
  <si>
    <t>20290610ELKAWEZ</t>
  </si>
  <si>
    <t>20290612ELMAXEZ</t>
  </si>
  <si>
    <t>20290614ELOAYEZ</t>
  </si>
  <si>
    <t>20290616ELQAZEZ</t>
  </si>
  <si>
    <t>20290617ELRBAEZ</t>
  </si>
  <si>
    <t>20290618ELSBBEZ</t>
  </si>
  <si>
    <t>20290619ELTBCEZ</t>
  </si>
  <si>
    <t>20290628EL4BCEZ</t>
  </si>
  <si>
    <t>六神花露水95ML</t>
  </si>
  <si>
    <t>20290624ELYZZEZ</t>
  </si>
  <si>
    <t>20290625ELZFHEZ</t>
  </si>
  <si>
    <t>20290626EL2FIEZ</t>
  </si>
  <si>
    <t>20290627EL3FJEZ</t>
  </si>
  <si>
    <t>20290628EL4FKEZ</t>
  </si>
  <si>
    <t>20290629EL5FLEZ</t>
  </si>
  <si>
    <t>六神喷雾驱蚊花露水（冰莲香型）180ml</t>
  </si>
  <si>
    <t>20290107FAHAAEZ</t>
  </si>
  <si>
    <t>26.1.10</t>
  </si>
  <si>
    <t>195ml上海花露水</t>
  </si>
  <si>
    <t>20290108FAIAAEZ</t>
  </si>
  <si>
    <t>26.1.12</t>
  </si>
  <si>
    <t>六神喷雾驱蚊花露水180ml</t>
  </si>
  <si>
    <t>20290108FAIAEEZ</t>
  </si>
  <si>
    <t>20290110FAKAFEZ</t>
  </si>
  <si>
    <t>26.1.14</t>
  </si>
  <si>
    <t>20290117FARANEZ</t>
  </si>
  <si>
    <t>26.1.20</t>
  </si>
  <si>
    <t>20290123FAXATEZ</t>
  </si>
  <si>
    <t>26.1.27</t>
  </si>
  <si>
    <t>20290124FAYAUEZ</t>
  </si>
  <si>
    <t>六神喷雾驱蚊花露水80ml</t>
  </si>
  <si>
    <t>20290109FAJAFEZ</t>
  </si>
  <si>
    <t>六神驱蚊花露水195ml</t>
  </si>
  <si>
    <t>20290110FAKAAEZ</t>
  </si>
  <si>
    <t>六神喷雾花露水180ml</t>
  </si>
  <si>
    <t>20290712FAMAAEZ</t>
  </si>
  <si>
    <t>26.1.16</t>
  </si>
  <si>
    <t>1.28日出库</t>
  </si>
  <si>
    <t>1.29日出库</t>
  </si>
  <si>
    <t>1.30日出库</t>
  </si>
  <si>
    <t>1.31日出库</t>
  </si>
  <si>
    <t>2.1日出库</t>
  </si>
  <si>
    <t>2.2日出库</t>
  </si>
  <si>
    <t>2.3日出库</t>
  </si>
  <si>
    <t>2.4日出库</t>
  </si>
  <si>
    <t>2.5日出库</t>
  </si>
  <si>
    <t>2.6日出库</t>
  </si>
  <si>
    <t>2.7日出库</t>
  </si>
  <si>
    <t>2.8日出库</t>
  </si>
  <si>
    <t>2.9日出库</t>
  </si>
  <si>
    <t>2.10日出库</t>
  </si>
  <si>
    <t>2.11日出库</t>
  </si>
  <si>
    <t>2.12日出库</t>
  </si>
  <si>
    <t>2.13日出库</t>
  </si>
  <si>
    <t>2.14日出库</t>
  </si>
  <si>
    <t>2.15日出库</t>
  </si>
  <si>
    <t>2.16日出库</t>
  </si>
  <si>
    <t>2.17日出库</t>
  </si>
  <si>
    <t>2.18日出库</t>
  </si>
  <si>
    <t>2.19日出库</t>
  </si>
  <si>
    <t>2.20日出库</t>
  </si>
  <si>
    <t>2.21日出库</t>
  </si>
  <si>
    <t>2.22日出库</t>
  </si>
  <si>
    <t>2.23日出库</t>
  </si>
  <si>
    <t>2.24日出库</t>
  </si>
  <si>
    <t>2.25日出库</t>
  </si>
  <si>
    <t>2.26日出库</t>
  </si>
  <si>
    <t>2.27日出库</t>
  </si>
  <si>
    <t>2.28日出库</t>
  </si>
  <si>
    <t>20290730FA6AVEZ</t>
  </si>
  <si>
    <t>26.2.4</t>
  </si>
  <si>
    <t>20290731FBAAWEZ</t>
  </si>
  <si>
    <t>20290803FBDAXEZ</t>
  </si>
  <si>
    <t>26.2.6</t>
  </si>
  <si>
    <t>20290824FBYBBEZ</t>
  </si>
  <si>
    <t>26.2.27</t>
  </si>
  <si>
    <t>20290129FA5ADEZ</t>
  </si>
  <si>
    <t>26.2.2</t>
  </si>
  <si>
    <t>20290206FBGAZEZ</t>
  </si>
  <si>
    <t>26.2.9</t>
  </si>
  <si>
    <t>20290207FBHBAEZ</t>
  </si>
  <si>
    <t>26.2.10</t>
  </si>
  <si>
    <t>20290227FB3BCEZ</t>
  </si>
  <si>
    <t>26.3.3</t>
  </si>
  <si>
    <t>20290731FBAADEZ</t>
  </si>
  <si>
    <t>20290810FBKAEEZ</t>
  </si>
  <si>
    <t>26.2.12</t>
  </si>
  <si>
    <t>20290811FBLAFEX</t>
  </si>
  <si>
    <t>26.2.26</t>
  </si>
  <si>
    <t>20290825FBZAFEZ</t>
  </si>
  <si>
    <t>六神喷雾驱蚊花露水180ml（薄荷香型）</t>
  </si>
  <si>
    <t>20290201FBBZZEZ</t>
  </si>
  <si>
    <t>六神劲凉酷爽花露水180ml</t>
  </si>
  <si>
    <t>20290809FBJAAEZ</t>
  </si>
  <si>
    <t>3.1日出库</t>
  </si>
  <si>
    <t>3.2日出库</t>
  </si>
  <si>
    <t>3.3日出库</t>
  </si>
  <si>
    <t>3.4日出库</t>
  </si>
  <si>
    <t>3.5日出库</t>
  </si>
  <si>
    <t>3.6日出库</t>
  </si>
  <si>
    <t>3.7日出库</t>
  </si>
  <si>
    <t>3.8日出库</t>
  </si>
  <si>
    <t>3.9日出库</t>
  </si>
  <si>
    <t>3.10日出库</t>
  </si>
  <si>
    <t>3.11日出库</t>
  </si>
  <si>
    <t>3.12日出库</t>
  </si>
  <si>
    <t>3.13日出库</t>
  </si>
  <si>
    <t>3.14日出库</t>
  </si>
  <si>
    <t>3.15日出库</t>
  </si>
  <si>
    <t>3.16日出库</t>
  </si>
  <si>
    <t>3.17日出库</t>
  </si>
  <si>
    <t>3.18日出库</t>
  </si>
  <si>
    <t>3.19日出库</t>
  </si>
  <si>
    <t>3.20日出库</t>
  </si>
  <si>
    <t>3.21日出库</t>
  </si>
  <si>
    <t>3.22日出库</t>
  </si>
  <si>
    <t>3.23日出库</t>
  </si>
  <si>
    <t>3.24日出库</t>
  </si>
  <si>
    <t>3.25日出库</t>
  </si>
  <si>
    <t>3.26日出库</t>
  </si>
  <si>
    <t>3.27日出库</t>
  </si>
  <si>
    <t>3.28日出库</t>
  </si>
  <si>
    <t>3.29日出库</t>
  </si>
  <si>
    <t>3.30日出库</t>
  </si>
  <si>
    <t>3.31日出库</t>
  </si>
  <si>
    <t>是否发过</t>
  </si>
  <si>
    <t>冻结3箱</t>
  </si>
  <si>
    <t>20290905FCFBJEZ</t>
  </si>
  <si>
    <t>26.3.10</t>
  </si>
  <si>
    <t>20290906FCGBKEZ</t>
  </si>
  <si>
    <t>20290907FCHBLEZ</t>
  </si>
  <si>
    <t>20290907FCHBMEZ</t>
  </si>
  <si>
    <t>26.3.11</t>
  </si>
  <si>
    <t>20290909FCJBOEZ</t>
  </si>
  <si>
    <t>26.3.12</t>
  </si>
  <si>
    <t>20290910FCKBPEZ</t>
  </si>
  <si>
    <t>26.3.13</t>
  </si>
  <si>
    <t>20290911FCLBQEZ</t>
  </si>
  <si>
    <t>26.3.14</t>
  </si>
  <si>
    <t>20290912FCMBREZ</t>
  </si>
  <si>
    <t>26.3.16</t>
  </si>
  <si>
    <t>20290913FCNBSEZ</t>
  </si>
  <si>
    <t>20290914FCOBTEZ</t>
  </si>
  <si>
    <t>26.3.17</t>
  </si>
  <si>
    <t>20290915FCPBUEZ</t>
  </si>
  <si>
    <t>26.3.18</t>
  </si>
  <si>
    <t>20290919FCTBYEZ</t>
  </si>
  <si>
    <t>26.3.23</t>
  </si>
  <si>
    <t>20290920FCUBZEZ</t>
  </si>
  <si>
    <t>26.3.24</t>
  </si>
  <si>
    <t>20290923FCXCAEZ</t>
  </si>
  <si>
    <t>26.3.27</t>
  </si>
  <si>
    <t>20290924FCYCAEZ</t>
  </si>
  <si>
    <t>20290924FCYCBEZ</t>
  </si>
  <si>
    <t>冻结18箱</t>
  </si>
  <si>
    <t>截止日期</t>
  </si>
  <si>
    <t>备注</t>
  </si>
  <si>
    <t>板数</t>
  </si>
  <si>
    <t>一板</t>
  </si>
  <si>
    <t>ELXFFEZ</t>
  </si>
  <si>
    <t>2029.6.23</t>
  </si>
  <si>
    <t>FBDAXEZ</t>
  </si>
  <si>
    <t>2029.8.03</t>
  </si>
  <si>
    <t>FBYBBEZ</t>
  </si>
  <si>
    <t>2029.8.24</t>
  </si>
  <si>
    <t>FCGBKEZ</t>
  </si>
  <si>
    <t>2029.9.6</t>
  </si>
  <si>
    <t>摔坏18箱，待补</t>
  </si>
  <si>
    <t>4楼-后-右</t>
  </si>
  <si>
    <t>FCHBLEZ</t>
  </si>
  <si>
    <t>2029.9.7</t>
  </si>
  <si>
    <t>4楼</t>
  </si>
  <si>
    <t>FCHBMEZ</t>
  </si>
  <si>
    <t>FCJBOEZ</t>
  </si>
  <si>
    <t>2029.9.9</t>
  </si>
  <si>
    <t>FCKBPEZ</t>
  </si>
  <si>
    <t>2029.9.10</t>
  </si>
  <si>
    <t>FCLBQEZ</t>
  </si>
  <si>
    <t>2029.9.11</t>
  </si>
  <si>
    <t>FCMBREZ</t>
  </si>
  <si>
    <t>2029.9.12</t>
  </si>
  <si>
    <t>FCNBSEZ</t>
  </si>
  <si>
    <t>2029.9.13</t>
  </si>
  <si>
    <t>FCOBTEZ</t>
  </si>
  <si>
    <t>2029.9.14</t>
  </si>
  <si>
    <t>FCPBUEZ</t>
  </si>
  <si>
    <t>2029.9.15</t>
  </si>
  <si>
    <t>FCTBYEZ</t>
  </si>
  <si>
    <t>2029.9.19</t>
  </si>
  <si>
    <t>FCUBZEZ</t>
  </si>
  <si>
    <t>2029.9.20</t>
  </si>
  <si>
    <t>多2箱,用了1箱</t>
  </si>
  <si>
    <t>FCXCAEZ</t>
  </si>
  <si>
    <t>2029.9.23</t>
  </si>
  <si>
    <t>FCYCAEZ</t>
  </si>
  <si>
    <t>2029.9.24</t>
  </si>
  <si>
    <t>FCYCBEZ</t>
  </si>
  <si>
    <t>FC2CBEZ</t>
  </si>
  <si>
    <t>26.4.1</t>
  </si>
  <si>
    <t>2029.9.26</t>
  </si>
  <si>
    <t>FC2CCEZ</t>
  </si>
  <si>
    <t>FDACGEZ</t>
  </si>
  <si>
    <t>2029.9.30</t>
  </si>
  <si>
    <t>ELMAXEZ</t>
  </si>
  <si>
    <t>2029.6.12</t>
  </si>
  <si>
    <t>ELOAYEZ</t>
  </si>
  <si>
    <t>2029.6.14</t>
  </si>
  <si>
    <t>4楼-后</t>
  </si>
  <si>
    <t>ELQAZEZ</t>
  </si>
  <si>
    <t>2029.6.16</t>
  </si>
  <si>
    <t>ELTBCEZ</t>
  </si>
  <si>
    <t>2029.6.19</t>
  </si>
  <si>
    <t>一楼</t>
  </si>
  <si>
    <t>EL4BCEZ</t>
  </si>
  <si>
    <t>2029.6.28</t>
  </si>
  <si>
    <t>4楼-过道</t>
  </si>
  <si>
    <t>FDPAEEZ</t>
  </si>
  <si>
    <t>2029.10.15</t>
  </si>
  <si>
    <t>3楼-D区</t>
  </si>
  <si>
    <t>ELZFHEZ</t>
  </si>
  <si>
    <t>2029.6.25</t>
  </si>
  <si>
    <t>EL2FIEZ</t>
  </si>
  <si>
    <t>2029.6.26</t>
  </si>
  <si>
    <t>EL3FJEZ</t>
  </si>
  <si>
    <t>2029.6.27</t>
  </si>
  <si>
    <t>4楼-前-B</t>
  </si>
  <si>
    <t>EL4FKEZ</t>
  </si>
  <si>
    <t>EL5FLEZ</t>
  </si>
  <si>
    <t>2029.6.29</t>
  </si>
  <si>
    <t>4楼-F</t>
  </si>
  <si>
    <t>FDTCXEZ</t>
  </si>
  <si>
    <t>2029.10.19</t>
  </si>
  <si>
    <t>4楼-A</t>
  </si>
  <si>
    <t>FDUCYEZ</t>
  </si>
  <si>
    <t>2029.10.20</t>
  </si>
  <si>
    <t>FAHAAEZ</t>
  </si>
  <si>
    <t>2029.1.7</t>
  </si>
  <si>
    <t>3楼-电梯口</t>
  </si>
  <si>
    <t>FA5ADEZ</t>
  </si>
  <si>
    <t>2029.1.29</t>
  </si>
  <si>
    <t>FAIAAEZ</t>
  </si>
  <si>
    <t>2029.1.8</t>
  </si>
  <si>
    <t>1楼+4楼-A</t>
  </si>
  <si>
    <t>FAXATEZ</t>
  </si>
  <si>
    <t>2029.1.23</t>
  </si>
  <si>
    <t>FAYAUEZ</t>
  </si>
  <si>
    <t>2029.1.24</t>
  </si>
  <si>
    <t>3楼-后</t>
  </si>
  <si>
    <t>FBGAZEZ</t>
  </si>
  <si>
    <t>2029.2.6</t>
  </si>
  <si>
    <t>FBHBAEZ</t>
  </si>
  <si>
    <t>2029.2.7</t>
  </si>
  <si>
    <t>FB3BCEZ</t>
  </si>
  <si>
    <t>2029.2.27</t>
  </si>
  <si>
    <t>FDUBVEZ</t>
  </si>
  <si>
    <t>2029.4.20</t>
  </si>
  <si>
    <t>FAJAFEZ</t>
  </si>
  <si>
    <t>2029.1.9</t>
  </si>
  <si>
    <t>友谊商贸待补5箱</t>
  </si>
  <si>
    <t>FDIBQEZ</t>
  </si>
  <si>
    <t>2029.4.8</t>
  </si>
  <si>
    <t>FAKAAEZ</t>
  </si>
  <si>
    <t>2029.1.10</t>
  </si>
  <si>
    <t>冻结8箱</t>
  </si>
  <si>
    <t>FBAADEZ</t>
  </si>
  <si>
    <t>2029.7.31</t>
  </si>
  <si>
    <t>FBLAFEX</t>
  </si>
  <si>
    <t>2029.8.11</t>
  </si>
  <si>
    <t>FBZAFEZ</t>
  </si>
  <si>
    <t>2029.8.25</t>
  </si>
  <si>
    <t>FCZAGEZ</t>
  </si>
  <si>
    <t>26.3.31</t>
  </si>
  <si>
    <t>2029.9.25</t>
  </si>
  <si>
    <t>FBBZZEZ</t>
  </si>
  <si>
    <t>2029.2.1</t>
  </si>
  <si>
    <t>3楼-过道</t>
  </si>
  <si>
    <t>FBJAAEZ</t>
  </si>
  <si>
    <t>2029.8.9</t>
  </si>
  <si>
    <t>3楼</t>
  </si>
  <si>
    <t>六神喷雾止痒花露水80ml</t>
  </si>
  <si>
    <t>FDCABEZ</t>
  </si>
  <si>
    <t>2029.10.2</t>
  </si>
  <si>
    <t>六神驱蚊花露水95ml</t>
  </si>
  <si>
    <t>FDQAKEZ</t>
  </si>
  <si>
    <t>2029.4.16</t>
  </si>
  <si>
    <t>3楼-E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</si>
</sst>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.d;@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6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P101"/>
  <sheetViews>
    <sheetView workbookViewId="0">
      <pane ySplit="1" topLeftCell="A2" activePane="bottomLeft" state="frozen"/>
      <selection/>
      <selection pane="bottomLeft" activeCell="AP49" sqref="AP49"/>
    </sheetView>
  </sheetViews>
  <sheetFormatPr defaultColWidth="9" defaultRowHeight="17.6"/>
  <cols>
    <col min="2" max="2" width="28.7522123893805" customWidth="1"/>
    <col min="3" max="3" width="21.5044247787611" customWidth="1"/>
    <col min="4" max="4" width="9.12389380530973" customWidth="1"/>
    <col min="5" max="5" width="10.7522123893805" customWidth="1"/>
    <col min="6" max="6" width="11.1238938053097" customWidth="1"/>
    <col min="7" max="7" width="7.12389380530973" style="1" hidden="1" customWidth="1"/>
    <col min="8" max="8" width="8.3716814159292" style="1" hidden="1" customWidth="1"/>
    <col min="9" max="9" width="9.12389380530973" style="1" hidden="1" customWidth="1"/>
    <col min="10" max="10" width="7.12389380530973" style="1" hidden="1" customWidth="1"/>
    <col min="11" max="11" width="8.24778761061947" style="1" hidden="1" customWidth="1"/>
    <col min="12" max="30" width="7.12389380530973" style="1" hidden="1" customWidth="1"/>
    <col min="31" max="33" width="7.12389380530973" style="1" customWidth="1"/>
    <col min="34" max="34" width="9.6283185840708" style="1" customWidth="1"/>
    <col min="35" max="35" width="7.12389380530973" style="1" customWidth="1"/>
    <col min="36" max="36" width="7.75221238938053" style="1" customWidth="1"/>
    <col min="37" max="37" width="7.76106194690265" style="1" customWidth="1"/>
    <col min="38" max="38" width="9.3716814159292" style="1" customWidth="1"/>
    <col min="39" max="39" width="7.76106194690265" style="1" customWidth="1"/>
    <col min="40" max="40" width="10" style="1" customWidth="1"/>
    <col min="41" max="41" width="11" style="1" customWidth="1"/>
    <col min="42" max="42" width="11.2477876106195" customWidth="1"/>
  </cols>
  <sheetData>
    <row r="1" ht="27" customHeight="1" spans="1:42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</row>
    <row r="2" spans="1:42">
      <c r="A2" s="38">
        <v>72067</v>
      </c>
      <c r="B2" s="38" t="s">
        <v>41</v>
      </c>
      <c r="C2" s="38" t="s">
        <v>42</v>
      </c>
      <c r="D2" s="38">
        <v>208800</v>
      </c>
      <c r="E2" s="38" t="s">
        <v>43</v>
      </c>
      <c r="F2" s="38"/>
      <c r="G2" s="38">
        <f>726*30+63000</f>
        <v>84780</v>
      </c>
      <c r="H2" s="38">
        <f>63000+61020</f>
        <v>124020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>
        <f t="shared" ref="AN2:AN16" si="0">D2-G2-H2-I2-J2-K2-L2-M2-N2-O2-P2-Q2-R2-S2-T2-U2-V2-W2-X2-Y2-Z2-AA2-AB2-AC2-AD2-AE2-AF2-AG2-AH2-AI2-AJ2-AK2-AL2-AM2</f>
        <v>0</v>
      </c>
      <c r="AO2" s="39">
        <f t="shared" ref="AO2:AO16" si="1">AN2/30</f>
        <v>0</v>
      </c>
    </row>
    <row r="3" spans="1:42">
      <c r="A3" s="38">
        <v>72067</v>
      </c>
      <c r="B3" s="38" t="s">
        <v>41</v>
      </c>
      <c r="C3" s="38" t="s">
        <v>44</v>
      </c>
      <c r="D3" s="38">
        <v>208800</v>
      </c>
      <c r="E3" s="38" t="s">
        <v>43</v>
      </c>
      <c r="F3" s="38"/>
      <c r="G3" s="38">
        <f>1374*30</f>
        <v>41220</v>
      </c>
      <c r="H3" s="38">
        <f>63000+63000+41580</f>
        <v>167580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>
        <f t="shared" si="0"/>
        <v>0</v>
      </c>
      <c r="AO3" s="39">
        <f t="shared" si="1"/>
        <v>0</v>
      </c>
    </row>
    <row r="4" spans="1:42">
      <c r="A4" s="38">
        <v>72067</v>
      </c>
      <c r="B4" s="38" t="s">
        <v>41</v>
      </c>
      <c r="C4" s="38" t="s">
        <v>45</v>
      </c>
      <c r="D4" s="38">
        <v>207030</v>
      </c>
      <c r="E4" s="38" t="s">
        <v>43</v>
      </c>
      <c r="F4" s="38"/>
      <c r="G4" s="38"/>
      <c r="H4" s="38">
        <f>14400+63600+63600+55860</f>
        <v>197460</v>
      </c>
      <c r="I4" s="38">
        <f>9570</f>
        <v>9570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>
        <f t="shared" si="0"/>
        <v>0</v>
      </c>
      <c r="AO4" s="39">
        <f t="shared" si="1"/>
        <v>0</v>
      </c>
      <c r="AP4" s="3"/>
    </row>
    <row r="5" spans="1:42">
      <c r="A5" s="38">
        <v>72067</v>
      </c>
      <c r="B5" s="38" t="s">
        <v>41</v>
      </c>
      <c r="C5" s="38" t="s">
        <v>46</v>
      </c>
      <c r="D5" s="38">
        <v>1200</v>
      </c>
      <c r="E5" s="38" t="s">
        <v>43</v>
      </c>
      <c r="F5" s="38"/>
      <c r="G5" s="38"/>
      <c r="H5" s="38">
        <v>1200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>
        <f t="shared" si="0"/>
        <v>0</v>
      </c>
      <c r="AO5" s="39">
        <f t="shared" si="1"/>
        <v>0</v>
      </c>
      <c r="AP5" s="3"/>
    </row>
    <row r="6" spans="1:42">
      <c r="A6" s="38">
        <v>72067</v>
      </c>
      <c r="B6" s="38" t="s">
        <v>41</v>
      </c>
      <c r="C6" s="38" t="s">
        <v>47</v>
      </c>
      <c r="D6" s="38">
        <v>208860</v>
      </c>
      <c r="E6" s="38" t="s">
        <v>43</v>
      </c>
      <c r="F6" s="38"/>
      <c r="G6" s="38"/>
      <c r="H6" s="38">
        <f>20400+6000+38400</f>
        <v>64800</v>
      </c>
      <c r="I6" s="38">
        <f>2122*30+2120*30+15600</f>
        <v>142860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>
        <f t="shared" si="0"/>
        <v>1200</v>
      </c>
      <c r="AO6" s="39">
        <f t="shared" si="1"/>
        <v>40</v>
      </c>
      <c r="AP6" s="3"/>
    </row>
    <row r="7" spans="1:42">
      <c r="A7" s="38">
        <v>72067</v>
      </c>
      <c r="B7" s="38" t="s">
        <v>41</v>
      </c>
      <c r="C7" s="38" t="s">
        <v>48</v>
      </c>
      <c r="D7" s="38">
        <v>182730</v>
      </c>
      <c r="E7" s="38" t="s">
        <v>43</v>
      </c>
      <c r="F7" s="38"/>
      <c r="G7" s="38"/>
      <c r="H7" s="38"/>
      <c r="I7" s="38">
        <f>1701*30+1480*30+2000*30+27300</f>
        <v>182730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>
        <f t="shared" si="0"/>
        <v>0</v>
      </c>
      <c r="AO7" s="39">
        <f t="shared" si="1"/>
        <v>0</v>
      </c>
    </row>
    <row r="8" spans="1:42">
      <c r="A8" s="38">
        <v>72067</v>
      </c>
      <c r="B8" s="38" t="s">
        <v>41</v>
      </c>
      <c r="C8" s="38" t="s">
        <v>49</v>
      </c>
      <c r="D8" s="38">
        <v>208800</v>
      </c>
      <c r="E8" s="38" t="s">
        <v>43</v>
      </c>
      <c r="F8" s="38"/>
      <c r="G8" s="38"/>
      <c r="H8" s="38"/>
      <c r="I8" s="38">
        <f>60000+60000+60000+28800</f>
        <v>208800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>
        <f t="shared" si="0"/>
        <v>0</v>
      </c>
      <c r="AO8" s="39">
        <f t="shared" si="1"/>
        <v>0</v>
      </c>
    </row>
    <row r="9" spans="1:42">
      <c r="A9" s="38">
        <v>72067</v>
      </c>
      <c r="B9" s="38" t="s">
        <v>41</v>
      </c>
      <c r="C9" s="38" t="s">
        <v>50</v>
      </c>
      <c r="D9" s="38">
        <v>55590</v>
      </c>
      <c r="E9" s="38" t="s">
        <v>51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>
        <f>600+660</f>
        <v>1260</v>
      </c>
      <c r="U9" s="38">
        <f>6000+3000</f>
        <v>9000</v>
      </c>
      <c r="V9" s="38">
        <f>3000+8700+19230</f>
        <v>30930</v>
      </c>
      <c r="W9" s="38"/>
      <c r="X9" s="38"/>
      <c r="Y9" s="38">
        <f>1500</f>
        <v>1500</v>
      </c>
      <c r="Z9" s="38"/>
      <c r="AA9" s="38"/>
      <c r="AB9" s="38">
        <f>1500+3000+900</f>
        <v>5400</v>
      </c>
      <c r="AC9" s="38"/>
      <c r="AD9" s="38"/>
      <c r="AE9" s="38">
        <f>3000</f>
        <v>3000</v>
      </c>
      <c r="AF9" s="38"/>
      <c r="AG9" s="38">
        <v>4500</v>
      </c>
      <c r="AH9" s="38"/>
      <c r="AI9" s="38"/>
      <c r="AJ9" s="38"/>
      <c r="AK9" s="38"/>
      <c r="AL9" s="38"/>
      <c r="AM9" s="38"/>
      <c r="AN9" s="38">
        <f t="shared" si="0"/>
        <v>0</v>
      </c>
      <c r="AO9" s="39">
        <f t="shared" si="1"/>
        <v>0</v>
      </c>
    </row>
    <row r="10" spans="1:42">
      <c r="A10" s="38">
        <v>72067</v>
      </c>
      <c r="B10" s="38" t="s">
        <v>41</v>
      </c>
      <c r="C10" s="38" t="s">
        <v>52</v>
      </c>
      <c r="D10" s="38">
        <v>52050</v>
      </c>
      <c r="E10" s="38" t="s">
        <v>51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>
        <f>4500</f>
        <v>4500</v>
      </c>
      <c r="AH10" s="38">
        <f>450+300+9000+6000+1350</f>
        <v>17100</v>
      </c>
      <c r="AI10" s="38">
        <f>9000</f>
        <v>9000</v>
      </c>
      <c r="AJ10" s="38">
        <f>1500+3000</f>
        <v>4500</v>
      </c>
      <c r="AK10" s="38"/>
      <c r="AL10" s="38"/>
      <c r="AM10" s="38">
        <f>9000+2640</f>
        <v>11640</v>
      </c>
      <c r="AN10" s="38">
        <f t="shared" si="0"/>
        <v>5310</v>
      </c>
      <c r="AO10" s="39">
        <f t="shared" si="1"/>
        <v>177</v>
      </c>
    </row>
    <row r="11" spans="1:42">
      <c r="A11" s="38">
        <v>72067</v>
      </c>
      <c r="B11" s="38" t="s">
        <v>41</v>
      </c>
      <c r="C11" s="38" t="s">
        <v>53</v>
      </c>
      <c r="D11" s="38">
        <v>156750</v>
      </c>
      <c r="E11" s="38" t="s">
        <v>51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>
        <f>360+6000</f>
        <v>6360</v>
      </c>
      <c r="AN11" s="38">
        <f t="shared" si="0"/>
        <v>150390</v>
      </c>
      <c r="AO11" s="39">
        <f t="shared" si="1"/>
        <v>5013</v>
      </c>
    </row>
    <row r="12" spans="1:42">
      <c r="A12" s="38">
        <v>72067</v>
      </c>
      <c r="B12" s="38" t="s">
        <v>41</v>
      </c>
      <c r="C12" s="38" t="s">
        <v>54</v>
      </c>
      <c r="D12" s="38">
        <v>104400</v>
      </c>
      <c r="E12" s="38" t="s">
        <v>51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>
        <f t="shared" si="0"/>
        <v>104400</v>
      </c>
      <c r="AO12" s="39">
        <f t="shared" si="1"/>
        <v>3480</v>
      </c>
    </row>
    <row r="13" spans="1:42">
      <c r="A13" s="38">
        <v>72067</v>
      </c>
      <c r="B13" s="38" t="s">
        <v>41</v>
      </c>
      <c r="C13" s="38" t="s">
        <v>55</v>
      </c>
      <c r="D13" s="38">
        <v>129300</v>
      </c>
      <c r="E13" s="38" t="s">
        <v>51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>
        <f t="shared" si="0"/>
        <v>129300</v>
      </c>
      <c r="AO13" s="39">
        <f t="shared" si="1"/>
        <v>4310</v>
      </c>
    </row>
    <row r="14" spans="1:42">
      <c r="A14" s="38">
        <v>72067</v>
      </c>
      <c r="B14" s="38" t="s">
        <v>41</v>
      </c>
      <c r="C14" s="38" t="s">
        <v>56</v>
      </c>
      <c r="D14" s="38">
        <v>129300</v>
      </c>
      <c r="E14" s="38" t="s">
        <v>51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>
        <f t="shared" si="0"/>
        <v>129300</v>
      </c>
      <c r="AO14" s="39">
        <f t="shared" si="1"/>
        <v>4310</v>
      </c>
    </row>
    <row r="15" spans="1:42">
      <c r="A15" s="38">
        <v>72067</v>
      </c>
      <c r="B15" s="38" t="s">
        <v>41</v>
      </c>
      <c r="C15" s="38" t="s">
        <v>57</v>
      </c>
      <c r="D15" s="38">
        <v>207360</v>
      </c>
      <c r="E15" s="38" t="s">
        <v>51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>
        <f t="shared" si="0"/>
        <v>207360</v>
      </c>
      <c r="AO15" s="39">
        <f t="shared" si="1"/>
        <v>6912</v>
      </c>
    </row>
    <row r="16" spans="1:42">
      <c r="A16" s="38">
        <v>72067</v>
      </c>
      <c r="B16" s="38" t="s">
        <v>41</v>
      </c>
      <c r="C16" s="38" t="s">
        <v>58</v>
      </c>
      <c r="D16" s="38">
        <v>140040</v>
      </c>
      <c r="E16" s="38" t="s">
        <v>51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>
        <f t="shared" si="0"/>
        <v>140040</v>
      </c>
      <c r="AO16" s="39">
        <f t="shared" si="1"/>
        <v>4668</v>
      </c>
    </row>
    <row r="17" spans="1:4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9"/>
    </row>
    <row r="18" ht="17.65" spans="1:41">
      <c r="A18" s="38">
        <v>20380</v>
      </c>
      <c r="B18" s="57" t="s">
        <v>59</v>
      </c>
      <c r="C18" s="54" t="s">
        <v>60</v>
      </c>
      <c r="D18" s="55">
        <v>17550</v>
      </c>
      <c r="E18" s="55" t="s">
        <v>61</v>
      </c>
      <c r="F18" s="56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>
        <f>90+90</f>
        <v>180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>
        <f>600</f>
        <v>600</v>
      </c>
      <c r="AI18" s="38"/>
      <c r="AJ18" s="38">
        <f>150+450</f>
        <v>600</v>
      </c>
      <c r="AK18" s="38"/>
      <c r="AL18" s="38"/>
      <c r="AM18" s="38"/>
      <c r="AN18" s="38">
        <f t="shared" ref="AN18:AN39" si="2">D18-G18-H18-I18-J18-K18-L18-M18-N18-O18-P18-Q18-R18-S18-T18-U18-V18-W18-X18-Y18-Z18-AA18-AB18-AC18-AD18-AE18-AF18-AG18-AH18-AI18-AJ18-AK18-AL18-AM18</f>
        <v>16170</v>
      </c>
      <c r="AO18" s="39">
        <f t="shared" ref="AO18:AO33" si="3">AN18/30</f>
        <v>539</v>
      </c>
    </row>
    <row r="19" spans="1:41">
      <c r="A19" s="38">
        <v>20380</v>
      </c>
      <c r="B19" s="57" t="s">
        <v>59</v>
      </c>
      <c r="C19" s="38" t="s">
        <v>62</v>
      </c>
      <c r="D19" s="38">
        <v>134250</v>
      </c>
      <c r="E19" s="55" t="s">
        <v>61</v>
      </c>
      <c r="F19" s="52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>
        <f t="shared" si="2"/>
        <v>134250</v>
      </c>
      <c r="AO19" s="39">
        <f t="shared" si="3"/>
        <v>4475</v>
      </c>
    </row>
    <row r="20" spans="1:41">
      <c r="A20" s="38">
        <v>20380</v>
      </c>
      <c r="B20" s="57" t="s">
        <v>59</v>
      </c>
      <c r="C20" s="38" t="s">
        <v>63</v>
      </c>
      <c r="D20" s="38">
        <v>134250</v>
      </c>
      <c r="E20" s="55" t="s">
        <v>61</v>
      </c>
      <c r="F20" s="52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>
        <f t="shared" si="2"/>
        <v>134250</v>
      </c>
      <c r="AO20" s="39">
        <f t="shared" si="3"/>
        <v>4475</v>
      </c>
    </row>
    <row r="21" spans="1:41">
      <c r="A21" s="38">
        <v>20380</v>
      </c>
      <c r="B21" s="57" t="s">
        <v>59</v>
      </c>
      <c r="C21" s="38" t="s">
        <v>64</v>
      </c>
      <c r="D21" s="38">
        <v>134580</v>
      </c>
      <c r="E21" s="55" t="s">
        <v>61</v>
      </c>
      <c r="F21" s="52"/>
      <c r="G21" s="38"/>
      <c r="H21" s="38"/>
      <c r="I21" s="38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>
        <f t="shared" si="2"/>
        <v>134580</v>
      </c>
      <c r="AO21" s="39">
        <f t="shared" si="3"/>
        <v>4486</v>
      </c>
    </row>
    <row r="22" spans="1:41">
      <c r="A22" s="38">
        <v>20380</v>
      </c>
      <c r="B22" s="57" t="s">
        <v>59</v>
      </c>
      <c r="C22" s="38" t="s">
        <v>65</v>
      </c>
      <c r="D22" s="38">
        <v>134280</v>
      </c>
      <c r="E22" s="55" t="s">
        <v>61</v>
      </c>
      <c r="F22" s="52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>
        <f t="shared" si="2"/>
        <v>134280</v>
      </c>
      <c r="AO22" s="39">
        <f t="shared" si="3"/>
        <v>4476</v>
      </c>
    </row>
    <row r="23" spans="1:41">
      <c r="A23" s="38">
        <v>20380</v>
      </c>
      <c r="B23" s="57" t="s">
        <v>59</v>
      </c>
      <c r="C23" s="38" t="s">
        <v>66</v>
      </c>
      <c r="D23" s="38">
        <v>134220</v>
      </c>
      <c r="E23" s="55" t="s">
        <v>61</v>
      </c>
      <c r="F23" s="52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>
        <f t="shared" si="2"/>
        <v>134220</v>
      </c>
      <c r="AO23" s="39">
        <f t="shared" si="3"/>
        <v>4474</v>
      </c>
    </row>
    <row r="24" spans="1:41">
      <c r="A24" s="38">
        <v>20380</v>
      </c>
      <c r="B24" s="57" t="s">
        <v>59</v>
      </c>
      <c r="C24" s="38" t="s">
        <v>67</v>
      </c>
      <c r="D24" s="38">
        <v>134250</v>
      </c>
      <c r="E24" s="55" t="s">
        <v>61</v>
      </c>
      <c r="F24" s="52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>
        <f t="shared" si="2"/>
        <v>134250</v>
      </c>
      <c r="AO24" s="39">
        <f t="shared" si="3"/>
        <v>4475</v>
      </c>
    </row>
    <row r="25" spans="1:41">
      <c r="A25" s="38">
        <v>20380</v>
      </c>
      <c r="B25" s="57" t="s">
        <v>59</v>
      </c>
      <c r="C25" s="38" t="s">
        <v>68</v>
      </c>
      <c r="D25" s="38">
        <v>135390</v>
      </c>
      <c r="E25" s="55" t="s">
        <v>61</v>
      </c>
      <c r="F25" s="52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>
        <f t="shared" si="2"/>
        <v>135390</v>
      </c>
      <c r="AO25" s="39">
        <f t="shared" si="3"/>
        <v>4513</v>
      </c>
    </row>
    <row r="26" spans="1:41">
      <c r="A26" s="38">
        <v>20380</v>
      </c>
      <c r="B26" s="57" t="s">
        <v>59</v>
      </c>
      <c r="C26" s="38" t="s">
        <v>69</v>
      </c>
      <c r="D26" s="38">
        <v>135900</v>
      </c>
      <c r="E26" s="55" t="s">
        <v>61</v>
      </c>
      <c r="F26" s="52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>
        <f t="shared" si="2"/>
        <v>135900</v>
      </c>
      <c r="AO26" s="39">
        <f t="shared" si="3"/>
        <v>4530</v>
      </c>
    </row>
    <row r="27" spans="1:41">
      <c r="A27" s="38">
        <v>20380</v>
      </c>
      <c r="B27" s="57" t="s">
        <v>59</v>
      </c>
      <c r="C27" s="38" t="s">
        <v>70</v>
      </c>
      <c r="D27" s="38">
        <v>135900</v>
      </c>
      <c r="E27" s="55" t="s">
        <v>61</v>
      </c>
      <c r="F27" s="52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>
        <f t="shared" si="2"/>
        <v>135900</v>
      </c>
      <c r="AO27" s="39">
        <f t="shared" si="3"/>
        <v>4530</v>
      </c>
    </row>
    <row r="28" spans="1:41">
      <c r="A28" s="38">
        <v>20380</v>
      </c>
      <c r="B28" s="57" t="s">
        <v>59</v>
      </c>
      <c r="C28" s="38" t="s">
        <v>71</v>
      </c>
      <c r="D28" s="38">
        <v>166440</v>
      </c>
      <c r="E28" s="55" t="s">
        <v>61</v>
      </c>
      <c r="F28" s="52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>
        <f t="shared" si="2"/>
        <v>166440</v>
      </c>
      <c r="AO28" s="39">
        <f t="shared" si="3"/>
        <v>5548</v>
      </c>
    </row>
    <row r="29" spans="1:41">
      <c r="A29" s="38">
        <v>20380</v>
      </c>
      <c r="B29" s="57" t="s">
        <v>59</v>
      </c>
      <c r="C29" s="38" t="s">
        <v>72</v>
      </c>
      <c r="D29" s="38">
        <v>3120</v>
      </c>
      <c r="E29" s="38" t="s">
        <v>51</v>
      </c>
      <c r="F29" s="52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>
        <f t="shared" si="2"/>
        <v>3120</v>
      </c>
      <c r="AO29" s="39">
        <f t="shared" si="3"/>
        <v>104</v>
      </c>
    </row>
    <row r="30" spans="1:41">
      <c r="A30" s="51"/>
      <c r="B30" s="38"/>
      <c r="C30" s="38"/>
      <c r="D30" s="38"/>
      <c r="E30" s="38"/>
      <c r="F30" s="52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9"/>
    </row>
    <row r="31" spans="1:41">
      <c r="A31" s="51">
        <v>72068</v>
      </c>
      <c r="B31" s="38" t="s">
        <v>73</v>
      </c>
      <c r="C31" s="38" t="s">
        <v>74</v>
      </c>
      <c r="D31" s="38">
        <v>52640</v>
      </c>
      <c r="E31" s="38" t="s">
        <v>61</v>
      </c>
      <c r="F31" s="52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>
        <f>800+4000</f>
        <v>4800</v>
      </c>
      <c r="V31" s="38">
        <f>4000+6000</f>
        <v>10000</v>
      </c>
      <c r="W31" s="38"/>
      <c r="X31" s="38"/>
      <c r="Y31" s="38"/>
      <c r="Z31" s="38"/>
      <c r="AA31" s="38"/>
      <c r="AB31" s="38">
        <f>2000</f>
        <v>2000</v>
      </c>
      <c r="AC31" s="38"/>
      <c r="AD31" s="38"/>
      <c r="AE31" s="38">
        <f>80+800</f>
        <v>880</v>
      </c>
      <c r="AF31" s="38"/>
      <c r="AG31" s="38">
        <f>2000+4000</f>
        <v>6000</v>
      </c>
      <c r="AH31" s="38">
        <f>8000+400+200</f>
        <v>8600</v>
      </c>
      <c r="AI31" s="38"/>
      <c r="AJ31" s="38">
        <f>400+2000+1200</f>
        <v>3600</v>
      </c>
      <c r="AK31" s="38"/>
      <c r="AL31" s="38"/>
      <c r="AM31" s="38">
        <f>8000+2800</f>
        <v>10800</v>
      </c>
      <c r="AN31" s="38">
        <f t="shared" ref="AN31:AN36" si="4">D31-G31-H31-I31-J31-K31-L31-M31-N31-O31-P31-Q31-R31-S31-T31-U31-V31-W31-X31-Y31-Z31-AA31-AB31-AC31-AD31-AE31-AF31-AG31-AH31-AI31-AJ31-AK31-AL31-AM31</f>
        <v>5960</v>
      </c>
      <c r="AO31" s="39">
        <f t="shared" ref="AO31:AO36" si="5">AN31/40</f>
        <v>149</v>
      </c>
    </row>
    <row r="32" spans="1:41">
      <c r="A32" s="51">
        <v>72068</v>
      </c>
      <c r="B32" s="38" t="s">
        <v>73</v>
      </c>
      <c r="C32" s="38" t="s">
        <v>75</v>
      </c>
      <c r="D32" s="38">
        <v>105920</v>
      </c>
      <c r="E32" s="38" t="s">
        <v>61</v>
      </c>
      <c r="F32" s="52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>
        <f t="shared" si="4"/>
        <v>105920</v>
      </c>
      <c r="AO32" s="39">
        <f t="shared" si="5"/>
        <v>2648</v>
      </c>
    </row>
    <row r="33" spans="1:41">
      <c r="A33" s="51">
        <v>72068</v>
      </c>
      <c r="B33" s="38" t="s">
        <v>73</v>
      </c>
      <c r="C33" s="38" t="s">
        <v>76</v>
      </c>
      <c r="D33" s="38">
        <v>211840</v>
      </c>
      <c r="E33" s="38" t="s">
        <v>61</v>
      </c>
      <c r="F33" s="52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>
        <f t="shared" si="4"/>
        <v>211840</v>
      </c>
      <c r="AO33" s="39">
        <f t="shared" si="5"/>
        <v>5296</v>
      </c>
    </row>
    <row r="34" spans="1:41">
      <c r="A34" s="51">
        <v>72068</v>
      </c>
      <c r="B34" s="38" t="s">
        <v>73</v>
      </c>
      <c r="C34" s="38" t="s">
        <v>77</v>
      </c>
      <c r="D34" s="38">
        <v>211840</v>
      </c>
      <c r="E34" s="38" t="s">
        <v>51</v>
      </c>
      <c r="F34" s="52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>
        <f t="shared" si="4"/>
        <v>211840</v>
      </c>
      <c r="AO34" s="39">
        <f t="shared" si="5"/>
        <v>5296</v>
      </c>
    </row>
    <row r="35" spans="1:41">
      <c r="A35" s="51">
        <v>72068</v>
      </c>
      <c r="B35" s="38" t="s">
        <v>73</v>
      </c>
      <c r="C35" s="38" t="s">
        <v>78</v>
      </c>
      <c r="D35" s="38">
        <v>211840</v>
      </c>
      <c r="E35" s="38" t="s">
        <v>51</v>
      </c>
      <c r="F35" s="52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>
        <f t="shared" si="4"/>
        <v>211840</v>
      </c>
      <c r="AO35" s="39">
        <f t="shared" si="5"/>
        <v>5296</v>
      </c>
    </row>
    <row r="36" spans="1:41">
      <c r="A36" s="51">
        <v>72068</v>
      </c>
      <c r="B36" s="38" t="s">
        <v>73</v>
      </c>
      <c r="C36" s="38" t="s">
        <v>79</v>
      </c>
      <c r="D36" s="38">
        <v>105920</v>
      </c>
      <c r="E36" s="38" t="s">
        <v>51</v>
      </c>
      <c r="F36" s="52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>
        <f t="shared" si="4"/>
        <v>105920</v>
      </c>
      <c r="AO36" s="39">
        <f t="shared" si="5"/>
        <v>2648</v>
      </c>
    </row>
    <row r="37" spans="1:41">
      <c r="A37" s="51"/>
      <c r="B37" s="38"/>
      <c r="C37" s="38"/>
      <c r="D37" s="38"/>
      <c r="E37" s="38"/>
      <c r="F37" s="52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9"/>
    </row>
    <row r="38" ht="35.25" spans="1:41">
      <c r="A38" s="51">
        <v>20856</v>
      </c>
      <c r="B38" s="58" t="s">
        <v>80</v>
      </c>
      <c r="C38" s="38" t="s">
        <v>81</v>
      </c>
      <c r="D38" s="38">
        <v>20010</v>
      </c>
      <c r="E38" s="38" t="s">
        <v>82</v>
      </c>
      <c r="F38" s="52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>
        <v>150</v>
      </c>
      <c r="AF38" s="38">
        <v>900</v>
      </c>
      <c r="AG38" s="38"/>
      <c r="AH38" s="38"/>
      <c r="AI38" s="38"/>
      <c r="AJ38" s="38"/>
      <c r="AK38" s="38"/>
      <c r="AL38" s="38"/>
      <c r="AM38" s="38"/>
      <c r="AN38" s="38">
        <f>D38-G38-H38-I38-J38-K38-L38-M38-N38-O38-P38-Q38-R38-S38-T38-U38-V38-W38-X38-Y38-Z38-AA38-AB38-AC38-AD38-AE38-AF38-AG38-AH38-AI38-AJ38-AK38-AL38-AM38</f>
        <v>18960</v>
      </c>
      <c r="AO38" s="39">
        <f>AN38/30</f>
        <v>632</v>
      </c>
    </row>
    <row r="39" spans="1:41">
      <c r="A39" s="51"/>
      <c r="B39" s="38"/>
      <c r="C39" s="38"/>
      <c r="D39" s="38"/>
      <c r="E39" s="38"/>
      <c r="F39" s="52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9"/>
    </row>
    <row r="40" spans="1:41">
      <c r="A40" s="51">
        <v>19723</v>
      </c>
      <c r="B40" s="38" t="s">
        <v>83</v>
      </c>
      <c r="C40" s="38" t="s">
        <v>84</v>
      </c>
      <c r="D40" s="38">
        <v>80010</v>
      </c>
      <c r="E40" s="38" t="s">
        <v>85</v>
      </c>
      <c r="F40" s="52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>
        <f>3000+30000</f>
        <v>33000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>
        <f>D40-G40-H40-I40-J40-K40-L40-M40-N40-O40-P40-Q40-R40-S40-T40-U40-V40-W40-X40-Y40-Z40-AA40-AB40-AC40-AD40-AE40-AF40-AG40-AH40-AI40-AJ40-AK40-AL40-AM40</f>
        <v>47010</v>
      </c>
      <c r="AO40" s="39">
        <f>AN40/30</f>
        <v>1567</v>
      </c>
    </row>
    <row r="41" spans="1:41">
      <c r="A41" s="51"/>
      <c r="B41" s="38"/>
      <c r="C41" s="38"/>
      <c r="D41" s="38"/>
      <c r="E41" s="38"/>
      <c r="F41" s="52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9"/>
    </row>
    <row r="42" spans="1:41">
      <c r="A42" s="51">
        <v>20854</v>
      </c>
      <c r="B42" s="38" t="s">
        <v>86</v>
      </c>
      <c r="C42" s="38" t="s">
        <v>87</v>
      </c>
      <c r="D42" s="38">
        <v>159420</v>
      </c>
      <c r="E42" s="38" t="s">
        <v>85</v>
      </c>
      <c r="F42" s="52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>
        <f>600</f>
        <v>600</v>
      </c>
      <c r="AI42" s="38"/>
      <c r="AJ42" s="38">
        <f>150+3000</f>
        <v>3150</v>
      </c>
      <c r="AK42" s="38"/>
      <c r="AL42" s="38">
        <f>66510</f>
        <v>66510</v>
      </c>
      <c r="AM42" s="38"/>
      <c r="AN42" s="38">
        <f>D42-G42-H42-I42-J42-K42-L42-M42-N42-O42-P42-Q42-R42-S42-T42-U42-V42-W42-X42-Y42-Z42-AA42-AB42-AC42-AD42-AE42-AF42-AG42-AH42-AI42-AJ42-AK42-AL42-AM42</f>
        <v>89160</v>
      </c>
      <c r="AO42" s="39">
        <f>AN42/30</f>
        <v>2972</v>
      </c>
    </row>
    <row r="43" spans="1:41">
      <c r="A43" s="51">
        <v>20854</v>
      </c>
      <c r="B43" s="38" t="s">
        <v>86</v>
      </c>
      <c r="C43" s="38" t="s">
        <v>88</v>
      </c>
      <c r="D43" s="38">
        <v>106290</v>
      </c>
      <c r="E43" s="38" t="s">
        <v>89</v>
      </c>
      <c r="F43" s="52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>
        <v>106290</v>
      </c>
      <c r="AM43" s="38"/>
      <c r="AN43" s="38">
        <f>D43-G43-H43-I43-J43-K43-L43-M43-N43-O43-P43-Q43-R43-S43-T43-U43-V43-W43-X43-Y43-Z43-AA43-AB43-AC43-AD43-AE43-AF43-AG43-AH43-AI43-AJ43-AK43-AL43-AM43</f>
        <v>0</v>
      </c>
      <c r="AO43" s="39">
        <f>AN43/30</f>
        <v>0</v>
      </c>
    </row>
    <row r="44" spans="1:41">
      <c r="A44" s="51">
        <v>20854</v>
      </c>
      <c r="B44" s="38" t="s">
        <v>86</v>
      </c>
      <c r="C44" s="38" t="s">
        <v>90</v>
      </c>
      <c r="D44" s="38">
        <v>211680</v>
      </c>
      <c r="E44" s="38" t="s">
        <v>91</v>
      </c>
      <c r="F44" s="52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>
        <v>211680</v>
      </c>
      <c r="AI44" s="38"/>
      <c r="AJ44" s="38"/>
      <c r="AK44" s="38"/>
      <c r="AL44" s="38"/>
      <c r="AM44" s="38"/>
      <c r="AN44" s="38">
        <f>D44-G44-H44-I44-J44-K44-L44-M44-N44-O44-P44-Q44-R44-S44-T44-U44-V44-W44-X44-Y44-Z44-AA44-AB44-AC44-AD44-AE44-AF44-AG44-AH44-AI44-AJ44-AK44-AL44-AM44</f>
        <v>0</v>
      </c>
      <c r="AO44" s="39">
        <f>AN44/30</f>
        <v>0</v>
      </c>
    </row>
    <row r="45" spans="1:41">
      <c r="A45" s="51">
        <v>20854</v>
      </c>
      <c r="B45" s="38" t="s">
        <v>86</v>
      </c>
      <c r="C45" s="38" t="s">
        <v>92</v>
      </c>
      <c r="D45" s="38">
        <v>211650</v>
      </c>
      <c r="E45" s="38" t="s">
        <v>93</v>
      </c>
      <c r="F45" s="52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>
        <f>D45-G45-H45-I45-J45-K45-L45-M45-N45-O45-P45-Q45-R45-S45-T45-U45-V45-W45-X45-Y45-Z45-AA45-AB45-AC45-AD45-AE45-AF45-AG45-AH45-AI45-AJ45-AK45-AL45-AM45</f>
        <v>211650</v>
      </c>
      <c r="AO45" s="39">
        <f>AN45/30</f>
        <v>7055</v>
      </c>
    </row>
    <row r="46" spans="1:41">
      <c r="A46" s="51">
        <v>20854</v>
      </c>
      <c r="B46" s="38" t="s">
        <v>86</v>
      </c>
      <c r="C46" s="38" t="s">
        <v>94</v>
      </c>
      <c r="D46" s="38">
        <v>195450</v>
      </c>
      <c r="E46" s="38"/>
      <c r="F46" s="52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>
        <f>D46-G46-H46-I46-J46-K46-L46-M46-N46-O46-P46-Q46-R46-S46-T46-U46-V46-W46-X46-Y46-Z46-AA46-AB46-AC46-AD46-AE46-AF46-AG46-AH46-AI46-AJ46-AK46-AL46-AM46</f>
        <v>195450</v>
      </c>
      <c r="AO46" s="39">
        <f>AN46/30</f>
        <v>6515</v>
      </c>
    </row>
    <row r="47" spans="1:41">
      <c r="A47" s="51"/>
      <c r="B47" s="38"/>
      <c r="C47" s="38"/>
      <c r="D47" s="38"/>
      <c r="E47" s="38"/>
      <c r="F47" s="52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9"/>
    </row>
    <row r="48" spans="1:41">
      <c r="A48" s="51">
        <v>20855</v>
      </c>
      <c r="B48" s="38" t="s">
        <v>95</v>
      </c>
      <c r="C48" s="38" t="s">
        <v>96</v>
      </c>
      <c r="D48" s="38">
        <v>100032</v>
      </c>
      <c r="E48" s="38" t="s">
        <v>85</v>
      </c>
      <c r="F48" s="52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>
        <f>960</f>
        <v>960</v>
      </c>
      <c r="AG48" s="38"/>
      <c r="AH48" s="38">
        <f>960</f>
        <v>960</v>
      </c>
      <c r="AI48" s="38"/>
      <c r="AJ48" s="38"/>
      <c r="AK48" s="38"/>
      <c r="AL48" s="38"/>
      <c r="AM48" s="38"/>
      <c r="AN48" s="38">
        <f>D48-G48-H48-I48-J48-K48-L48-M48-N48-O48-P48-Q48-R48-S48-T48-U48-V48-W48-X48-Y48-Z48-AA48-AB48-AC48-AD48-AE48-AF48-AG48-AH48-AI48-AJ48-AK48-AL48-AM48</f>
        <v>98112</v>
      </c>
      <c r="AO48" s="39">
        <f>AN48/48</f>
        <v>2044</v>
      </c>
    </row>
    <row r="49" spans="1:41">
      <c r="A49" s="51"/>
      <c r="B49" s="38"/>
      <c r="C49" s="38"/>
      <c r="D49" s="38"/>
      <c r="E49" s="38"/>
      <c r="F49" s="52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9"/>
    </row>
    <row r="50" spans="1:41">
      <c r="A50" s="51">
        <v>20850</v>
      </c>
      <c r="B50" s="38" t="s">
        <v>97</v>
      </c>
      <c r="C50" s="38" t="s">
        <v>98</v>
      </c>
      <c r="D50" s="38">
        <v>50010</v>
      </c>
      <c r="E50" s="38" t="s">
        <v>89</v>
      </c>
      <c r="F50" s="52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>
        <v>900</v>
      </c>
      <c r="AK50" s="38"/>
      <c r="AL50" s="38"/>
      <c r="AM50" s="38"/>
      <c r="AN50" s="38">
        <f>D50-G50-H50-I50-J50-K50-L50-M50-N50-O50-P50-Q50-R50-S50-T50-U50-V50-W50-X50-Y50-Z50-AA50-AB50-AC50-AD50-AE50-AF50-AG50-AH50-AI50-AJ50-AK50-AL50-AM50</f>
        <v>49110</v>
      </c>
      <c r="AO50" s="39">
        <f>AN50/30</f>
        <v>1637</v>
      </c>
    </row>
    <row r="51" spans="1:41">
      <c r="A51" s="51"/>
      <c r="B51" s="38"/>
      <c r="C51" s="38"/>
      <c r="D51" s="38"/>
      <c r="E51" s="38"/>
      <c r="F51" s="52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9"/>
    </row>
    <row r="52" spans="1:41">
      <c r="A52" s="51">
        <v>20148</v>
      </c>
      <c r="B52" s="38" t="s">
        <v>99</v>
      </c>
      <c r="C52" s="38" t="s">
        <v>100</v>
      </c>
      <c r="D52" s="38">
        <v>50010</v>
      </c>
      <c r="E52" s="38" t="s">
        <v>101</v>
      </c>
      <c r="F52" s="52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>
        <f>150</f>
        <v>150</v>
      </c>
      <c r="AI52" s="38"/>
      <c r="AJ52" s="38">
        <v>60</v>
      </c>
      <c r="AK52" s="38"/>
      <c r="AL52" s="38"/>
      <c r="AM52" s="38"/>
      <c r="AN52" s="38">
        <f>D52-G52-H52-I52-J52-K52-L52-M52-N52-O52-P52-Q52-R52-S52-T52-U52-V52-W52-X52-Y52-Z52-AA52-AB52-AC52-AD52-AE52-AF52-AG52-AH52-AI52-AJ52-AK52-AL52-AM52</f>
        <v>49800</v>
      </c>
      <c r="AO52" s="39">
        <f>AN52/30</f>
        <v>1660</v>
      </c>
    </row>
    <row r="53" spans="1:41">
      <c r="A53" s="51"/>
      <c r="B53" s="38"/>
      <c r="C53" s="38"/>
      <c r="D53" s="38"/>
      <c r="E53" s="38"/>
      <c r="F53" s="52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</row>
    <row r="54" spans="1:41">
      <c r="A54" s="51"/>
      <c r="B54" s="38"/>
      <c r="C54" s="38"/>
      <c r="D54" s="38"/>
      <c r="E54" s="38"/>
      <c r="F54" s="52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9"/>
    </row>
    <row r="55" spans="1:41">
      <c r="A55" s="51"/>
      <c r="B55" s="38"/>
      <c r="C55" s="38"/>
      <c r="D55" s="38"/>
      <c r="E55" s="38"/>
      <c r="F55" s="52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9"/>
    </row>
    <row r="56" spans="1:41">
      <c r="A56" s="51"/>
      <c r="B56" s="38"/>
      <c r="C56" s="38"/>
      <c r="D56" s="38"/>
      <c r="E56" s="38"/>
      <c r="F56" s="52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9"/>
    </row>
    <row r="57" spans="1:41">
      <c r="A57" s="51"/>
      <c r="B57" s="38"/>
      <c r="C57" s="38"/>
      <c r="D57" s="38"/>
      <c r="E57" s="38"/>
      <c r="F57" s="52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9"/>
    </row>
    <row r="58" spans="1:41">
      <c r="A58" s="51"/>
      <c r="B58" s="38"/>
      <c r="C58" s="38"/>
      <c r="D58" s="38"/>
      <c r="E58" s="38"/>
      <c r="F58" s="52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9"/>
    </row>
    <row r="59" spans="1:41">
      <c r="A59" s="51"/>
      <c r="B59" s="38"/>
      <c r="C59" s="38"/>
      <c r="D59" s="38"/>
      <c r="E59" s="38"/>
      <c r="F59" s="52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9"/>
    </row>
    <row r="60" spans="1:41">
      <c r="A60" s="51"/>
      <c r="B60" s="38"/>
      <c r="C60" s="38"/>
      <c r="D60" s="38"/>
      <c r="E60" s="38"/>
      <c r="F60" s="52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9"/>
    </row>
    <row r="61" spans="1:41">
      <c r="A61" s="51"/>
      <c r="B61" s="38"/>
      <c r="C61" s="38"/>
      <c r="D61" s="38"/>
      <c r="E61" s="38"/>
      <c r="F61" s="52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9"/>
    </row>
    <row r="62" spans="1:41">
      <c r="A62" s="51"/>
      <c r="B62" s="38"/>
      <c r="C62" s="38"/>
      <c r="D62" s="38"/>
      <c r="E62" s="38"/>
      <c r="F62" s="52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9"/>
    </row>
    <row r="63" spans="1:41">
      <c r="A63" s="51"/>
      <c r="B63" s="38"/>
      <c r="C63" s="38"/>
      <c r="D63" s="38"/>
      <c r="E63" s="38"/>
      <c r="F63" s="52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9"/>
    </row>
    <row r="64" spans="1:41">
      <c r="A64" s="51"/>
      <c r="B64" s="38"/>
      <c r="C64" s="38"/>
      <c r="D64" s="38"/>
      <c r="E64" s="38"/>
      <c r="F64" s="52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9"/>
    </row>
    <row r="65" spans="1:41">
      <c r="A65" s="51"/>
      <c r="B65" s="38"/>
      <c r="C65" s="38"/>
      <c r="D65" s="38"/>
      <c r="E65" s="38"/>
      <c r="F65" s="52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9"/>
    </row>
    <row r="66" spans="1:41">
      <c r="A66" s="51"/>
      <c r="B66" s="38"/>
      <c r="C66" s="38"/>
      <c r="D66" s="38"/>
      <c r="E66" s="38"/>
      <c r="F66" s="52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9"/>
    </row>
    <row r="67" spans="1:41">
      <c r="A67" s="51"/>
      <c r="B67" s="38"/>
      <c r="C67" s="38"/>
      <c r="D67" s="38"/>
      <c r="E67" s="38"/>
      <c r="F67" s="52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9"/>
    </row>
    <row r="68" spans="1:41">
      <c r="A68" s="51"/>
      <c r="B68" s="38"/>
      <c r="C68" s="38"/>
      <c r="D68" s="38"/>
      <c r="E68" s="38"/>
      <c r="F68" s="52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9"/>
    </row>
    <row r="69" spans="1:41">
      <c r="A69" s="51"/>
      <c r="B69" s="38"/>
      <c r="C69" s="38"/>
      <c r="D69" s="38"/>
      <c r="E69" s="38"/>
      <c r="F69" s="52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9"/>
    </row>
    <row r="70" spans="1:41">
      <c r="A70" s="51"/>
      <c r="B70" s="38"/>
      <c r="C70" s="38"/>
      <c r="D70" s="38"/>
      <c r="E70" s="38"/>
      <c r="F70" s="52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9"/>
    </row>
    <row r="71" spans="1:41">
      <c r="A71" s="51"/>
      <c r="B71" s="38"/>
      <c r="C71" s="38"/>
      <c r="D71" s="38"/>
      <c r="E71" s="38"/>
      <c r="F71" s="52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9"/>
    </row>
    <row r="72" spans="1:41">
      <c r="A72" s="51"/>
      <c r="B72" s="38"/>
      <c r="C72" s="38"/>
      <c r="D72" s="38"/>
      <c r="E72" s="38"/>
      <c r="F72" s="52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9"/>
    </row>
    <row r="73" spans="1:41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9"/>
    </row>
    <row r="74" spans="1:41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9"/>
    </row>
    <row r="75" spans="1:41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9"/>
    </row>
    <row r="76" spans="1:41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9"/>
    </row>
    <row r="77" spans="1:41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9"/>
    </row>
    <row r="78" spans="1:41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9"/>
    </row>
    <row r="79" spans="1:41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9"/>
    </row>
    <row r="80" spans="1:41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9"/>
    </row>
    <row r="81" spans="1:41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9"/>
    </row>
    <row r="82" spans="1:41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9"/>
    </row>
    <row r="83" spans="1:41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9"/>
    </row>
    <row r="84" spans="1:41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9"/>
    </row>
    <row r="85" spans="1:41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9"/>
    </row>
    <row r="86" spans="1:41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9"/>
    </row>
    <row r="87" spans="1:41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9"/>
    </row>
    <row r="88" spans="1:41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9"/>
    </row>
    <row r="89" spans="1:41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9"/>
    </row>
    <row r="90" spans="1:41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</row>
    <row r="91" spans="1:41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</row>
    <row r="92" spans="1:41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9"/>
    </row>
    <row r="93" spans="1:41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9"/>
    </row>
    <row r="94" spans="1:41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9"/>
    </row>
    <row r="95" spans="1:41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9"/>
    </row>
    <row r="96" spans="1:41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9"/>
    </row>
    <row r="97" spans="1:41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9"/>
    </row>
    <row r="98" spans="1:41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9"/>
    </row>
    <row r="99" spans="1:41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9"/>
    </row>
    <row r="100" spans="1:41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9"/>
    </row>
    <row r="101" spans="1:41">
      <c r="A101" s="51"/>
      <c r="B101" s="52"/>
      <c r="C101" s="52"/>
      <c r="D101" s="52"/>
      <c r="E101" s="52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9"/>
    </row>
  </sheetData>
  <autoFilter xmlns:etc="http://www.wps.cn/officeDocument/2017/etCustomData" ref="A1:AO101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N103"/>
  <sheetViews>
    <sheetView workbookViewId="0">
      <pane ySplit="1" topLeftCell="A2" activePane="bottomLeft" state="frozen"/>
      <selection/>
      <selection pane="bottomLeft" activeCell="B19" sqref="B19"/>
    </sheetView>
  </sheetViews>
  <sheetFormatPr defaultColWidth="9" defaultRowHeight="17.6"/>
  <cols>
    <col min="2" max="2" width="28.7522123893805" customWidth="1"/>
    <col min="3" max="3" width="21.5044247787611" customWidth="1"/>
    <col min="4" max="4" width="9.12389380530973" customWidth="1"/>
    <col min="5" max="5" width="10.7522123893805" customWidth="1"/>
    <col min="6" max="6" width="11.1238938053097" customWidth="1"/>
    <col min="7" max="7" width="8.3716814159292" style="1" hidden="1" customWidth="1"/>
    <col min="8" max="8" width="9.12389380530973" style="1" hidden="1" customWidth="1"/>
    <col min="9" max="9" width="7.12389380530973" style="1" hidden="1" customWidth="1"/>
    <col min="10" max="10" width="8.24778761061947" style="1" hidden="1" customWidth="1"/>
    <col min="11" max="32" width="7.12389380530973" style="1" hidden="1" customWidth="1"/>
    <col min="33" max="33" width="9.6283185840708" style="1" hidden="1" customWidth="1"/>
    <col min="34" max="34" width="7.12389380530973" style="1" hidden="1" customWidth="1"/>
    <col min="35" max="35" width="7.75221238938053" style="1" hidden="1" customWidth="1"/>
    <col min="36" max="36" width="7.76106194690265" style="1" customWidth="1"/>
    <col min="37" max="37" width="9.3716814159292" style="1" customWidth="1"/>
    <col min="38" max="38" width="7.76106194690265" style="1" customWidth="1"/>
    <col min="39" max="39" width="10" style="1" customWidth="1"/>
    <col min="40" max="40" width="11" style="1" customWidth="1"/>
    <col min="41" max="41" width="11.2477876106195" customWidth="1"/>
  </cols>
  <sheetData>
    <row r="1" ht="27" customHeight="1" spans="1:40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102</v>
      </c>
      <c r="H1" s="38" t="s">
        <v>103</v>
      </c>
      <c r="I1" s="38" t="s">
        <v>104</v>
      </c>
      <c r="J1" s="38" t="s">
        <v>105</v>
      </c>
      <c r="K1" s="38" t="s">
        <v>106</v>
      </c>
      <c r="L1" s="38" t="s">
        <v>107</v>
      </c>
      <c r="M1" s="38" t="s">
        <v>108</v>
      </c>
      <c r="N1" s="38" t="s">
        <v>109</v>
      </c>
      <c r="O1" s="38" t="s">
        <v>110</v>
      </c>
      <c r="P1" s="38" t="s">
        <v>111</v>
      </c>
      <c r="Q1" s="38" t="s">
        <v>112</v>
      </c>
      <c r="R1" s="38" t="s">
        <v>113</v>
      </c>
      <c r="S1" s="38" t="s">
        <v>114</v>
      </c>
      <c r="T1" s="38" t="s">
        <v>115</v>
      </c>
      <c r="U1" s="38" t="s">
        <v>116</v>
      </c>
      <c r="V1" s="38" t="s">
        <v>117</v>
      </c>
      <c r="W1" s="38" t="s">
        <v>118</v>
      </c>
      <c r="X1" s="38" t="s">
        <v>119</v>
      </c>
      <c r="Y1" s="38" t="s">
        <v>120</v>
      </c>
      <c r="Z1" s="38" t="s">
        <v>121</v>
      </c>
      <c r="AA1" s="38" t="s">
        <v>122</v>
      </c>
      <c r="AB1" s="38" t="s">
        <v>123</v>
      </c>
      <c r="AC1" s="38" t="s">
        <v>124</v>
      </c>
      <c r="AD1" s="38" t="s">
        <v>125</v>
      </c>
      <c r="AE1" s="38" t="s">
        <v>126</v>
      </c>
      <c r="AF1" s="38" t="s">
        <v>127</v>
      </c>
      <c r="AG1" s="38" t="s">
        <v>128</v>
      </c>
      <c r="AH1" s="38" t="s">
        <v>129</v>
      </c>
      <c r="AI1" s="38" t="s">
        <v>130</v>
      </c>
      <c r="AJ1" s="38" t="s">
        <v>131</v>
      </c>
      <c r="AK1" s="38" t="s">
        <v>132</v>
      </c>
      <c r="AL1" s="38" t="s">
        <v>133</v>
      </c>
      <c r="AM1" s="38" t="s">
        <v>39</v>
      </c>
      <c r="AN1" s="38" t="s">
        <v>40</v>
      </c>
    </row>
    <row r="2" spans="1:40">
      <c r="A2" s="38">
        <v>72067</v>
      </c>
      <c r="B2" s="38" t="s">
        <v>41</v>
      </c>
      <c r="C2" s="38" t="s">
        <v>52</v>
      </c>
      <c r="D2" s="38">
        <v>5310</v>
      </c>
      <c r="E2" s="38" t="s">
        <v>51</v>
      </c>
      <c r="F2" s="38"/>
      <c r="G2" s="38">
        <f>2310+3000</f>
        <v>5310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>
        <f>D2-G2-H2-I2-J2-K2-L2-M2-N2-O2-P2-Q2-R2-S2-T2-U2-V2-W2-X2-Y2-Z2-AA2-AB2-AC2-AD2-AE2-AF2-AG2-AH2-AI2-AJ2-AK2-AL2</f>
        <v>0</v>
      </c>
      <c r="AN2" s="39">
        <f>AM2/30</f>
        <v>0</v>
      </c>
    </row>
    <row r="3" spans="1:40">
      <c r="A3" s="38">
        <v>72067</v>
      </c>
      <c r="B3" s="38" t="s">
        <v>41</v>
      </c>
      <c r="C3" s="38" t="s">
        <v>53</v>
      </c>
      <c r="D3" s="38">
        <v>150390</v>
      </c>
      <c r="E3" s="38" t="s">
        <v>51</v>
      </c>
      <c r="F3" s="38"/>
      <c r="G3" s="38">
        <f>19050+6000+10080+11250+1500+3000+3000</f>
        <v>53880</v>
      </c>
      <c r="H3" s="38"/>
      <c r="I3" s="38"/>
      <c r="J3" s="38"/>
      <c r="K3" s="38"/>
      <c r="L3" s="38"/>
      <c r="M3" s="38">
        <f>1300*30</f>
        <v>39000</v>
      </c>
      <c r="N3" s="38"/>
      <c r="O3" s="38">
        <f>38*30</f>
        <v>1140</v>
      </c>
      <c r="P3" s="38"/>
      <c r="Q3" s="38"/>
      <c r="R3" s="38"/>
      <c r="S3" s="38"/>
      <c r="T3" s="38"/>
      <c r="U3" s="38">
        <f>300</f>
        <v>300</v>
      </c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>
        <f>4500+4800</f>
        <v>9300</v>
      </c>
      <c r="AK3" s="38"/>
      <c r="AL3" s="38">
        <v>46770</v>
      </c>
      <c r="AM3" s="38">
        <f t="shared" ref="AM3:AM13" si="0">D3-G3-H3-I3-J3-K3-L3-M3-N3-O3-P3-Q3-R3-S3-T3-U3-V3-W3-X3-Y3-Z3-AA3-AB3-AC3-AD3-AE3-AF3-AG3-AH3-AI3-AJ3-AK3-AL3</f>
        <v>0</v>
      </c>
      <c r="AN3" s="39">
        <f t="shared" ref="AN3:AN13" si="1">AM3/30</f>
        <v>0</v>
      </c>
    </row>
    <row r="4" spans="1:40">
      <c r="A4" s="38">
        <v>72067</v>
      </c>
      <c r="B4" s="38" t="s">
        <v>41</v>
      </c>
      <c r="C4" s="38" t="s">
        <v>54</v>
      </c>
      <c r="D4" s="38">
        <v>104400</v>
      </c>
      <c r="E4" s="38" t="s">
        <v>51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>
        <f>48000+5280+350*30</f>
        <v>63780</v>
      </c>
      <c r="AM4" s="38">
        <f t="shared" si="0"/>
        <v>40620</v>
      </c>
      <c r="AN4" s="39">
        <f t="shared" si="1"/>
        <v>1354</v>
      </c>
    </row>
    <row r="5" spans="1:40">
      <c r="A5" s="38">
        <v>72067</v>
      </c>
      <c r="B5" s="38" t="s">
        <v>41</v>
      </c>
      <c r="C5" s="38" t="s">
        <v>55</v>
      </c>
      <c r="D5" s="38">
        <v>129300</v>
      </c>
      <c r="E5" s="38" t="s">
        <v>51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>
        <f t="shared" si="0"/>
        <v>129300</v>
      </c>
      <c r="AN5" s="39">
        <f t="shared" si="1"/>
        <v>4310</v>
      </c>
    </row>
    <row r="6" spans="1:40">
      <c r="A6" s="38">
        <v>72067</v>
      </c>
      <c r="B6" s="38" t="s">
        <v>41</v>
      </c>
      <c r="C6" s="38" t="s">
        <v>56</v>
      </c>
      <c r="D6" s="38">
        <v>129300</v>
      </c>
      <c r="E6" s="38" t="s">
        <v>51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>
        <f t="shared" si="0"/>
        <v>129300</v>
      </c>
      <c r="AN6" s="39">
        <f t="shared" si="1"/>
        <v>4310</v>
      </c>
    </row>
    <row r="7" spans="1:40">
      <c r="A7" s="38">
        <v>72067</v>
      </c>
      <c r="B7" s="38" t="s">
        <v>41</v>
      </c>
      <c r="C7" s="38" t="s">
        <v>47</v>
      </c>
      <c r="D7" s="38">
        <v>1200</v>
      </c>
      <c r="E7" s="38" t="s">
        <v>43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>
        <f t="shared" si="0"/>
        <v>1200</v>
      </c>
      <c r="AN7" s="39">
        <f t="shared" si="1"/>
        <v>40</v>
      </c>
    </row>
    <row r="8" spans="1:40">
      <c r="A8" s="38">
        <v>72067</v>
      </c>
      <c r="B8" s="38" t="s">
        <v>41</v>
      </c>
      <c r="C8" s="38" t="s">
        <v>57</v>
      </c>
      <c r="D8" s="38">
        <v>207360</v>
      </c>
      <c r="E8" s="38" t="s">
        <v>51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>
        <f t="shared" si="0"/>
        <v>207360</v>
      </c>
      <c r="AN8" s="39">
        <f t="shared" si="1"/>
        <v>6912</v>
      </c>
    </row>
    <row r="9" spans="1:40">
      <c r="A9" s="38">
        <v>72067</v>
      </c>
      <c r="B9" s="38" t="s">
        <v>41</v>
      </c>
      <c r="C9" s="38" t="s">
        <v>58</v>
      </c>
      <c r="D9" s="38">
        <v>140040</v>
      </c>
      <c r="E9" s="38" t="s">
        <v>51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>
        <f t="shared" si="0"/>
        <v>140040</v>
      </c>
      <c r="AN9" s="39">
        <f t="shared" si="1"/>
        <v>4668</v>
      </c>
    </row>
    <row r="10" spans="1:40">
      <c r="A10" s="38">
        <v>72067</v>
      </c>
      <c r="B10" s="38" t="s">
        <v>41</v>
      </c>
      <c r="C10" s="38" t="s">
        <v>134</v>
      </c>
      <c r="D10" s="38">
        <v>26310</v>
      </c>
      <c r="E10" s="38" t="s">
        <v>135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>
        <f t="shared" si="0"/>
        <v>26310</v>
      </c>
      <c r="AN10" s="39">
        <f t="shared" si="1"/>
        <v>877</v>
      </c>
    </row>
    <row r="11" ht="17.65" spans="1:40">
      <c r="A11" s="38">
        <v>72067</v>
      </c>
      <c r="B11" s="38" t="s">
        <v>41</v>
      </c>
      <c r="C11" s="54" t="s">
        <v>136</v>
      </c>
      <c r="D11" s="55">
        <v>208860</v>
      </c>
      <c r="E11" s="55" t="s">
        <v>135</v>
      </c>
      <c r="F11" s="5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>
        <f t="shared" si="0"/>
        <v>208860</v>
      </c>
      <c r="AN11" s="39">
        <f t="shared" si="1"/>
        <v>6962</v>
      </c>
    </row>
    <row r="12" ht="17.65" spans="1:40">
      <c r="A12" s="38">
        <v>72067</v>
      </c>
      <c r="B12" s="38" t="s">
        <v>41</v>
      </c>
      <c r="C12" s="54" t="s">
        <v>137</v>
      </c>
      <c r="D12" s="55">
        <v>104040</v>
      </c>
      <c r="E12" s="55" t="s">
        <v>138</v>
      </c>
      <c r="F12" s="56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>
        <f t="shared" si="0"/>
        <v>104040</v>
      </c>
      <c r="AN12" s="39">
        <f t="shared" si="1"/>
        <v>3468</v>
      </c>
    </row>
    <row r="13" ht="17.65" spans="1:40">
      <c r="A13" s="38">
        <v>72067</v>
      </c>
      <c r="B13" s="38" t="s">
        <v>41</v>
      </c>
      <c r="C13" s="54" t="s">
        <v>139</v>
      </c>
      <c r="D13" s="55">
        <v>78120</v>
      </c>
      <c r="E13" s="55" t="s">
        <v>140</v>
      </c>
      <c r="F13" s="56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>
        <f t="shared" si="0"/>
        <v>78120</v>
      </c>
      <c r="AN13" s="39">
        <f t="shared" si="1"/>
        <v>2604</v>
      </c>
    </row>
    <row r="14" spans="1:40">
      <c r="A14" s="38"/>
      <c r="B14" s="57"/>
      <c r="C14" s="54"/>
      <c r="D14" s="55"/>
      <c r="E14" s="55"/>
      <c r="F14" s="5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9"/>
    </row>
    <row r="15" ht="17.65" spans="1:40">
      <c r="A15" s="38">
        <v>20380</v>
      </c>
      <c r="B15" s="57" t="s">
        <v>59</v>
      </c>
      <c r="C15" s="54" t="s">
        <v>60</v>
      </c>
      <c r="D15" s="55">
        <v>16170</v>
      </c>
      <c r="E15" s="55" t="s">
        <v>61</v>
      </c>
      <c r="F15" s="56"/>
      <c r="G15" s="38">
        <f>1500</f>
        <v>1500</v>
      </c>
      <c r="H15" s="38">
        <f>600</f>
        <v>600</v>
      </c>
      <c r="I15" s="38"/>
      <c r="J15" s="38"/>
      <c r="K15" s="38"/>
      <c r="L15" s="38"/>
      <c r="M15" s="38"/>
      <c r="N15" s="38"/>
      <c r="O15" s="38">
        <v>300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>
        <f>3000+600</f>
        <v>3600</v>
      </c>
      <c r="AM15" s="38">
        <f>D15-G15-H15-I15-J15-K15-L15-M15-N15-O15-P15-Q15-R15-S15-T15-U15-V15-W15-X15-Y15-Z15-AA15-AB15-AC15-AD15-AE15-AF15-AG15-AH15-AI15-AJ15-AK15-AL15</f>
        <v>10170</v>
      </c>
      <c r="AN15" s="39">
        <f>AM15/30</f>
        <v>339</v>
      </c>
    </row>
    <row r="16" spans="1:40">
      <c r="A16" s="38">
        <v>20380</v>
      </c>
      <c r="B16" s="57" t="s">
        <v>59</v>
      </c>
      <c r="C16" s="38" t="s">
        <v>62</v>
      </c>
      <c r="D16" s="38">
        <v>134250</v>
      </c>
      <c r="E16" s="55" t="s">
        <v>61</v>
      </c>
      <c r="F16" s="52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>
        <f t="shared" ref="AM16:AM26" si="2">D16-G16-H16-I16-J16-K16-L16-M16-N16-O16-P16-Q16-R16-S16-T16-U16-V16-W16-X16-Y16-Z16-AA16-AB16-AC16-AD16-AE16-AF16-AG16-AH16-AI16-AJ16-AK16-AL16</f>
        <v>134250</v>
      </c>
      <c r="AN16" s="39">
        <f t="shared" ref="AN16:AN26" si="3">AM16/30</f>
        <v>4475</v>
      </c>
    </row>
    <row r="17" spans="1:40">
      <c r="A17" s="38">
        <v>20380</v>
      </c>
      <c r="B17" s="57" t="s">
        <v>59</v>
      </c>
      <c r="C17" s="38" t="s">
        <v>63</v>
      </c>
      <c r="D17" s="38">
        <v>134250</v>
      </c>
      <c r="E17" s="55" t="s">
        <v>61</v>
      </c>
      <c r="F17" s="52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>
        <f t="shared" si="2"/>
        <v>134250</v>
      </c>
      <c r="AN17" s="39">
        <f t="shared" si="3"/>
        <v>4475</v>
      </c>
    </row>
    <row r="18" spans="1:40">
      <c r="A18" s="38">
        <v>20380</v>
      </c>
      <c r="B18" s="57" t="s">
        <v>59</v>
      </c>
      <c r="C18" s="38" t="s">
        <v>64</v>
      </c>
      <c r="D18" s="38">
        <v>134580</v>
      </c>
      <c r="E18" s="55" t="s">
        <v>61</v>
      </c>
      <c r="F18" s="52"/>
      <c r="G18" s="38"/>
      <c r="H18" s="38"/>
      <c r="I18" s="38"/>
      <c r="J18" s="38"/>
      <c r="K18" s="38"/>
      <c r="L18" s="38"/>
      <c r="M18" s="38"/>
      <c r="N18" s="3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>
        <f t="shared" si="2"/>
        <v>134580</v>
      </c>
      <c r="AN18" s="39">
        <f t="shared" si="3"/>
        <v>4486</v>
      </c>
    </row>
    <row r="19" spans="1:40">
      <c r="A19" s="38">
        <v>20380</v>
      </c>
      <c r="B19" s="57" t="s">
        <v>59</v>
      </c>
      <c r="C19" s="38" t="s">
        <v>65</v>
      </c>
      <c r="D19" s="38">
        <v>134280</v>
      </c>
      <c r="E19" s="55" t="s">
        <v>61</v>
      </c>
      <c r="F19" s="52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>
        <f t="shared" si="2"/>
        <v>134280</v>
      </c>
      <c r="AN19" s="39">
        <f t="shared" si="3"/>
        <v>4476</v>
      </c>
    </row>
    <row r="20" spans="1:40">
      <c r="A20" s="38">
        <v>20380</v>
      </c>
      <c r="B20" s="57" t="s">
        <v>59</v>
      </c>
      <c r="C20" s="38" t="s">
        <v>66</v>
      </c>
      <c r="D20" s="38">
        <v>134220</v>
      </c>
      <c r="E20" s="55" t="s">
        <v>61</v>
      </c>
      <c r="F20" s="52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>
        <f t="shared" si="2"/>
        <v>134220</v>
      </c>
      <c r="AN20" s="39">
        <f t="shared" si="3"/>
        <v>4474</v>
      </c>
    </row>
    <row r="21" spans="1:40">
      <c r="A21" s="38">
        <v>20380</v>
      </c>
      <c r="B21" s="57" t="s">
        <v>59</v>
      </c>
      <c r="C21" s="38" t="s">
        <v>67</v>
      </c>
      <c r="D21" s="38">
        <v>134250</v>
      </c>
      <c r="E21" s="55" t="s">
        <v>61</v>
      </c>
      <c r="F21" s="52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>
        <f t="shared" si="2"/>
        <v>134250</v>
      </c>
      <c r="AN21" s="39">
        <f t="shared" si="3"/>
        <v>4475</v>
      </c>
    </row>
    <row r="22" spans="1:40">
      <c r="A22" s="38">
        <v>20380</v>
      </c>
      <c r="B22" s="57" t="s">
        <v>59</v>
      </c>
      <c r="C22" s="38" t="s">
        <v>68</v>
      </c>
      <c r="D22" s="38">
        <v>135390</v>
      </c>
      <c r="E22" s="55" t="s">
        <v>61</v>
      </c>
      <c r="F22" s="52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>
        <f t="shared" si="2"/>
        <v>135390</v>
      </c>
      <c r="AN22" s="39">
        <f t="shared" si="3"/>
        <v>4513</v>
      </c>
    </row>
    <row r="23" spans="1:40">
      <c r="A23" s="38">
        <v>20380</v>
      </c>
      <c r="B23" s="57" t="s">
        <v>59</v>
      </c>
      <c r="C23" s="38" t="s">
        <v>69</v>
      </c>
      <c r="D23" s="38">
        <v>135900</v>
      </c>
      <c r="E23" s="55" t="s">
        <v>61</v>
      </c>
      <c r="F23" s="52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>
        <f t="shared" si="2"/>
        <v>135900</v>
      </c>
      <c r="AN23" s="39">
        <f t="shared" si="3"/>
        <v>4530</v>
      </c>
    </row>
    <row r="24" spans="1:40">
      <c r="A24" s="38">
        <v>20380</v>
      </c>
      <c r="B24" s="57" t="s">
        <v>59</v>
      </c>
      <c r="C24" s="38" t="s">
        <v>70</v>
      </c>
      <c r="D24" s="38">
        <v>135900</v>
      </c>
      <c r="E24" s="55" t="s">
        <v>61</v>
      </c>
      <c r="F24" s="52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>
        <f t="shared" si="2"/>
        <v>135900</v>
      </c>
      <c r="AN24" s="39">
        <f t="shared" si="3"/>
        <v>4530</v>
      </c>
    </row>
    <row r="25" spans="1:40">
      <c r="A25" s="38">
        <v>20380</v>
      </c>
      <c r="B25" s="57" t="s">
        <v>59</v>
      </c>
      <c r="C25" s="38" t="s">
        <v>71</v>
      </c>
      <c r="D25" s="38">
        <v>166440</v>
      </c>
      <c r="E25" s="55" t="s">
        <v>61</v>
      </c>
      <c r="F25" s="52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>
        <f t="shared" si="2"/>
        <v>166440</v>
      </c>
      <c r="AN25" s="39">
        <f t="shared" si="3"/>
        <v>5548</v>
      </c>
    </row>
    <row r="26" spans="1:40">
      <c r="A26" s="38">
        <v>20380</v>
      </c>
      <c r="B26" s="57" t="s">
        <v>59</v>
      </c>
      <c r="C26" s="38" t="s">
        <v>72</v>
      </c>
      <c r="D26" s="38">
        <v>3120</v>
      </c>
      <c r="E26" s="38" t="s">
        <v>51</v>
      </c>
      <c r="F26" s="52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>
        <f t="shared" si="2"/>
        <v>3120</v>
      </c>
      <c r="AN26" s="39">
        <f t="shared" si="3"/>
        <v>104</v>
      </c>
    </row>
    <row r="27" spans="1:40">
      <c r="A27" s="51"/>
      <c r="B27" s="38"/>
      <c r="C27" s="38"/>
      <c r="D27" s="38"/>
      <c r="E27" s="38"/>
      <c r="F27" s="52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</row>
    <row r="28" spans="1:40">
      <c r="A28" s="51">
        <v>72068</v>
      </c>
      <c r="B28" s="38" t="s">
        <v>73</v>
      </c>
      <c r="C28" s="38" t="s">
        <v>74</v>
      </c>
      <c r="D28" s="38">
        <v>5960</v>
      </c>
      <c r="E28" s="38" t="s">
        <v>61</v>
      </c>
      <c r="F28" s="52"/>
      <c r="G28" s="38">
        <f>5960</f>
        <v>5960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>
        <f t="shared" ref="AM28:AM33" si="4">D28-G28-H28-I28-J28-K28-L28-M28-N28-O28-P28-Q28-R28-S28-T28-U28-V28-W28-X28-Y28-Z28-AA28-AB28-AC28-AD28-AE28-AF28-AG28-AH28-AI28-AJ28-AK28-AL28</f>
        <v>0</v>
      </c>
      <c r="AN28" s="39">
        <f t="shared" ref="AN28:AN33" si="5">AM28/40</f>
        <v>0</v>
      </c>
    </row>
    <row r="29" spans="1:40">
      <c r="A29" s="51">
        <v>72068</v>
      </c>
      <c r="B29" s="38" t="s">
        <v>73</v>
      </c>
      <c r="C29" s="38" t="s">
        <v>75</v>
      </c>
      <c r="D29" s="38">
        <v>105920</v>
      </c>
      <c r="E29" s="38" t="s">
        <v>61</v>
      </c>
      <c r="F29" s="52"/>
      <c r="G29" s="38">
        <f>2000+4000+12040+4000</f>
        <v>22040</v>
      </c>
      <c r="H29" s="38">
        <f>1600</f>
        <v>1600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>
        <f>2000</f>
        <v>2000</v>
      </c>
      <c r="AK29" s="38"/>
      <c r="AL29" s="38">
        <f>4000+2000+1200+2000+600</f>
        <v>9800</v>
      </c>
      <c r="AM29" s="38">
        <f t="shared" si="4"/>
        <v>70480</v>
      </c>
      <c r="AN29" s="39">
        <f t="shared" si="5"/>
        <v>1762</v>
      </c>
    </row>
    <row r="30" spans="1:40">
      <c r="A30" s="51">
        <v>72068</v>
      </c>
      <c r="B30" s="38" t="s">
        <v>73</v>
      </c>
      <c r="C30" s="38" t="s">
        <v>76</v>
      </c>
      <c r="D30" s="38">
        <v>211840</v>
      </c>
      <c r="E30" s="38" t="s">
        <v>61</v>
      </c>
      <c r="F30" s="52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>
        <f t="shared" si="4"/>
        <v>211840</v>
      </c>
      <c r="AN30" s="39">
        <f t="shared" si="5"/>
        <v>5296</v>
      </c>
    </row>
    <row r="31" spans="1:40">
      <c r="A31" s="51">
        <v>72068</v>
      </c>
      <c r="B31" s="38" t="s">
        <v>73</v>
      </c>
      <c r="C31" s="38" t="s">
        <v>77</v>
      </c>
      <c r="D31" s="38">
        <v>211840</v>
      </c>
      <c r="E31" s="38" t="s">
        <v>51</v>
      </c>
      <c r="F31" s="52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>
        <f t="shared" si="4"/>
        <v>211840</v>
      </c>
      <c r="AN31" s="39">
        <f t="shared" si="5"/>
        <v>5296</v>
      </c>
    </row>
    <row r="32" spans="1:40">
      <c r="A32" s="51">
        <v>72068</v>
      </c>
      <c r="B32" s="38" t="s">
        <v>73</v>
      </c>
      <c r="C32" s="38" t="s">
        <v>78</v>
      </c>
      <c r="D32" s="38">
        <v>211840</v>
      </c>
      <c r="E32" s="38" t="s">
        <v>51</v>
      </c>
      <c r="F32" s="52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>
        <f t="shared" si="4"/>
        <v>211840</v>
      </c>
      <c r="AN32" s="39">
        <f t="shared" si="5"/>
        <v>5296</v>
      </c>
    </row>
    <row r="33" spans="1:40">
      <c r="A33" s="51">
        <v>72068</v>
      </c>
      <c r="B33" s="38" t="s">
        <v>73</v>
      </c>
      <c r="C33" s="38" t="s">
        <v>79</v>
      </c>
      <c r="D33" s="38">
        <v>105920</v>
      </c>
      <c r="E33" s="38" t="s">
        <v>51</v>
      </c>
      <c r="F33" s="52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>
        <f t="shared" si="4"/>
        <v>105920</v>
      </c>
      <c r="AN33" s="39">
        <f t="shared" si="5"/>
        <v>2648</v>
      </c>
    </row>
    <row r="34" spans="1:40">
      <c r="A34" s="51"/>
      <c r="B34" s="38"/>
      <c r="C34" s="38"/>
      <c r="D34" s="38"/>
      <c r="E34" s="38"/>
      <c r="F34" s="52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9"/>
    </row>
    <row r="35" ht="35.25" spans="1:40">
      <c r="A35" s="51">
        <v>20856</v>
      </c>
      <c r="B35" s="58" t="s">
        <v>80</v>
      </c>
      <c r="C35" s="38" t="s">
        <v>81</v>
      </c>
      <c r="D35" s="38">
        <v>18960</v>
      </c>
      <c r="E35" s="38" t="s">
        <v>82</v>
      </c>
      <c r="F35" s="52"/>
      <c r="G35" s="38"/>
      <c r="H35" s="38"/>
      <c r="I35" s="38"/>
      <c r="J35" s="38"/>
      <c r="K35" s="38"/>
      <c r="L35" s="38"/>
      <c r="M35" s="38"/>
      <c r="N35" s="38"/>
      <c r="O35" s="38">
        <v>300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>
        <f>900</f>
        <v>900</v>
      </c>
      <c r="AL35" s="38">
        <f>600</f>
        <v>600</v>
      </c>
      <c r="AM35" s="38">
        <f>D35-G35-H35-I35-J35-K35-L35-M35-N35-O35-P35-Q35-R35-S35-T35-U35-V35-W35-X35-Y35-Z35-AA35-AB35-AC35-AD35-AE35-AF35-AG35-AH35-AI35-AJ35-AK35-AL35</f>
        <v>17160</v>
      </c>
      <c r="AN35" s="39">
        <f>AM35/30</f>
        <v>572</v>
      </c>
    </row>
    <row r="36" ht="35.25" spans="1:40">
      <c r="A36" s="51">
        <v>20856</v>
      </c>
      <c r="B36" s="58" t="s">
        <v>80</v>
      </c>
      <c r="C36" s="38" t="s">
        <v>141</v>
      </c>
      <c r="D36" s="38">
        <v>60000</v>
      </c>
      <c r="E36" s="38" t="s">
        <v>142</v>
      </c>
      <c r="F36" s="52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>
        <f>D36-G36-H36-I36-J36-K36-L36-M36-N36-O36-P36-Q36-R36-S36-T36-U36-V36-W36-X36-Y36-Z36-AA36-AB36-AC36-AD36-AE36-AF36-AG36-AH36-AI36-AJ36-AK36-AL36</f>
        <v>60000</v>
      </c>
      <c r="AN36" s="39">
        <f>AM36/30</f>
        <v>2000</v>
      </c>
    </row>
    <row r="37" spans="1:40">
      <c r="A37" s="51"/>
      <c r="B37" s="38"/>
      <c r="C37" s="38"/>
      <c r="D37" s="38"/>
      <c r="E37" s="38"/>
      <c r="F37" s="52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9"/>
    </row>
    <row r="38" spans="1:40">
      <c r="A38" s="51">
        <v>19723</v>
      </c>
      <c r="B38" s="38" t="s">
        <v>83</v>
      </c>
      <c r="C38" s="38" t="s">
        <v>84</v>
      </c>
      <c r="D38" s="38">
        <v>47010</v>
      </c>
      <c r="E38" s="38" t="s">
        <v>85</v>
      </c>
      <c r="F38" s="52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>
        <f>D38-G38-H38-I38-J38-K38-L38-M38-N38-O38-P38-Q38-R38-S38-T38-U38-V38-W38-X38-Y38-Z38-AA38-AB38-AC38-AD38-AE38-AF38-AG38-AH38-AI38-AJ38-AK38-AL38</f>
        <v>47010</v>
      </c>
      <c r="AN38" s="39">
        <f>AM38/30</f>
        <v>1567</v>
      </c>
    </row>
    <row r="39" spans="1:40">
      <c r="A39" s="51"/>
      <c r="B39" s="38"/>
      <c r="C39" s="38"/>
      <c r="D39" s="38"/>
      <c r="E39" s="38"/>
      <c r="F39" s="52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9"/>
    </row>
    <row r="40" spans="1:40">
      <c r="A40" s="51">
        <v>20854</v>
      </c>
      <c r="B40" s="38" t="s">
        <v>86</v>
      </c>
      <c r="C40" s="38" t="s">
        <v>87</v>
      </c>
      <c r="D40" s="38">
        <v>89160</v>
      </c>
      <c r="E40" s="38" t="s">
        <v>85</v>
      </c>
      <c r="F40" s="52"/>
      <c r="G40" s="38">
        <f>150</f>
        <v>150</v>
      </c>
      <c r="H40" s="38">
        <f>150</f>
        <v>150</v>
      </c>
      <c r="I40" s="38"/>
      <c r="J40" s="38"/>
      <c r="K40" s="38"/>
      <c r="L40" s="38"/>
      <c r="M40" s="38"/>
      <c r="N40" s="38"/>
      <c r="O40" s="38">
        <v>300</v>
      </c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>
        <v>1500</v>
      </c>
      <c r="AL40" s="38">
        <f>3000+600+200*30</f>
        <v>9600</v>
      </c>
      <c r="AM40" s="38">
        <f t="shared" ref="AM40:AM45" si="6">D40-G40-H40-I40-J40-K40-L40-M40-N40-O40-P40-Q40-R40-S40-T40-U40-V40-W40-X40-Y40-Z40-AA40-AB40-AC40-AD40-AE40-AF40-AG40-AH40-AI40-AJ40-AK40-AL40</f>
        <v>77460</v>
      </c>
      <c r="AN40" s="39">
        <f t="shared" ref="AN40:AN45" si="7">AM40/30</f>
        <v>2582</v>
      </c>
    </row>
    <row r="41" spans="1:40">
      <c r="A41" s="51">
        <v>20854</v>
      </c>
      <c r="B41" s="38" t="s">
        <v>86</v>
      </c>
      <c r="C41" s="38" t="s">
        <v>92</v>
      </c>
      <c r="D41" s="38">
        <v>211650</v>
      </c>
      <c r="E41" s="38" t="s">
        <v>93</v>
      </c>
      <c r="F41" s="52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>
        <f t="shared" si="6"/>
        <v>211650</v>
      </c>
      <c r="AN41" s="39">
        <f t="shared" si="7"/>
        <v>7055</v>
      </c>
    </row>
    <row r="42" spans="1:40">
      <c r="A42" s="51">
        <v>20854</v>
      </c>
      <c r="B42" s="38" t="s">
        <v>86</v>
      </c>
      <c r="C42" s="38" t="s">
        <v>94</v>
      </c>
      <c r="D42" s="38">
        <v>195450</v>
      </c>
      <c r="E42" s="38" t="s">
        <v>93</v>
      </c>
      <c r="F42" s="52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>
        <f t="shared" si="6"/>
        <v>195450</v>
      </c>
      <c r="AN42" s="39">
        <f t="shared" si="7"/>
        <v>6515</v>
      </c>
    </row>
    <row r="43" spans="1:40">
      <c r="A43" s="51">
        <v>20854</v>
      </c>
      <c r="B43" s="38" t="s">
        <v>86</v>
      </c>
      <c r="C43" s="38" t="s">
        <v>143</v>
      </c>
      <c r="D43" s="38">
        <v>41340</v>
      </c>
      <c r="E43" s="38" t="s">
        <v>144</v>
      </c>
      <c r="F43" s="52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>
        <f t="shared" si="6"/>
        <v>41340</v>
      </c>
      <c r="AN43" s="39">
        <f t="shared" si="7"/>
        <v>1378</v>
      </c>
    </row>
    <row r="44" spans="1:40">
      <c r="A44" s="51">
        <v>20854</v>
      </c>
      <c r="B44" s="38" t="s">
        <v>86</v>
      </c>
      <c r="C44" s="38" t="s">
        <v>145</v>
      </c>
      <c r="D44" s="38">
        <v>100110</v>
      </c>
      <c r="E44" s="38" t="s">
        <v>146</v>
      </c>
      <c r="F44" s="52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>
        <f t="shared" si="6"/>
        <v>100110</v>
      </c>
      <c r="AN44" s="39">
        <f t="shared" si="7"/>
        <v>3337</v>
      </c>
    </row>
    <row r="45" spans="1:40">
      <c r="A45" s="51">
        <v>20854</v>
      </c>
      <c r="B45" s="38" t="s">
        <v>86</v>
      </c>
      <c r="C45" s="38" t="s">
        <v>147</v>
      </c>
      <c r="D45" s="38">
        <v>132270</v>
      </c>
      <c r="E45" s="38" t="s">
        <v>148</v>
      </c>
      <c r="F45" s="52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>
        <f t="shared" si="6"/>
        <v>132270</v>
      </c>
      <c r="AN45" s="39">
        <f t="shared" si="7"/>
        <v>4409</v>
      </c>
    </row>
    <row r="46" spans="1:40">
      <c r="A46" s="51"/>
      <c r="B46" s="38"/>
      <c r="C46" s="38"/>
      <c r="D46" s="38"/>
      <c r="E46" s="38"/>
      <c r="F46" s="52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9"/>
    </row>
    <row r="47" spans="1:40">
      <c r="A47" s="51">
        <v>20855</v>
      </c>
      <c r="B47" s="38" t="s">
        <v>95</v>
      </c>
      <c r="C47" s="38" t="s">
        <v>96</v>
      </c>
      <c r="D47" s="38">
        <v>98112</v>
      </c>
      <c r="E47" s="38" t="s">
        <v>85</v>
      </c>
      <c r="F47" s="52"/>
      <c r="G47" s="38"/>
      <c r="H47" s="38">
        <f>144</f>
        <v>144</v>
      </c>
      <c r="I47" s="38"/>
      <c r="J47" s="38"/>
      <c r="K47" s="38"/>
      <c r="L47" s="38"/>
      <c r="M47" s="38"/>
      <c r="N47" s="38"/>
      <c r="O47" s="38">
        <f>960+480</f>
        <v>1440</v>
      </c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>
        <f>50*48</f>
        <v>2400</v>
      </c>
      <c r="AL47" s="38"/>
      <c r="AM47" s="38">
        <f>D47-G47-H47-I47-J47-K47-L47-M47-N47-O47-P47-Q47-R47-S47-T47-U47-V47-W47-X47-Y47-Z47-AA47-AB47-AC47-AD47-AE47-AF47-AG47-AH47-AI47-AJ47-AK47-AL47</f>
        <v>94128</v>
      </c>
      <c r="AN47" s="39">
        <f>AM47/48</f>
        <v>1961</v>
      </c>
    </row>
    <row r="48" spans="1:40">
      <c r="A48" s="51"/>
      <c r="B48" s="38"/>
      <c r="C48" s="38"/>
      <c r="D48" s="38"/>
      <c r="E48" s="38"/>
      <c r="F48" s="52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9"/>
    </row>
    <row r="49" spans="1:40">
      <c r="A49" s="51">
        <v>20850</v>
      </c>
      <c r="B49" s="38" t="s">
        <v>97</v>
      </c>
      <c r="C49" s="38" t="s">
        <v>98</v>
      </c>
      <c r="D49" s="38">
        <v>49110</v>
      </c>
      <c r="E49" s="38" t="s">
        <v>89</v>
      </c>
      <c r="F49" s="52"/>
      <c r="G49" s="38"/>
      <c r="H49" s="38"/>
      <c r="I49" s="38"/>
      <c r="J49" s="38"/>
      <c r="K49" s="38"/>
      <c r="L49" s="38"/>
      <c r="M49" s="38"/>
      <c r="N49" s="38"/>
      <c r="O49" s="38">
        <v>150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>
        <f>D49-G49-H49-I49-J49-K49-L49-M49-N49-O49-P49-Q49-R49-S49-T49-U49-V49-W49-X49-Y49-Z49-AA49-AB49-AC49-AD49-AE49-AF49-AG49-AH49-AI49-AJ49-AK49-AL49</f>
        <v>48960</v>
      </c>
      <c r="AN49" s="39">
        <f>AM49/30</f>
        <v>1632</v>
      </c>
    </row>
    <row r="50" spans="1:40">
      <c r="A50" s="51"/>
      <c r="B50" s="38"/>
      <c r="C50" s="38"/>
      <c r="D50" s="38"/>
      <c r="E50" s="38"/>
      <c r="F50" s="52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9"/>
    </row>
    <row r="51" spans="1:40">
      <c r="A51" s="51">
        <v>20148</v>
      </c>
      <c r="B51" s="38" t="s">
        <v>99</v>
      </c>
      <c r="C51" s="38" t="s">
        <v>100</v>
      </c>
      <c r="D51" s="38">
        <v>49800</v>
      </c>
      <c r="E51" s="38" t="s">
        <v>101</v>
      </c>
      <c r="F51" s="52"/>
      <c r="G51" s="38">
        <f>1500+150</f>
        <v>1650</v>
      </c>
      <c r="H51" s="38">
        <f>300</f>
        <v>300</v>
      </c>
      <c r="I51" s="38"/>
      <c r="J51" s="38"/>
      <c r="K51" s="38"/>
      <c r="L51" s="38"/>
      <c r="M51" s="38"/>
      <c r="N51" s="38"/>
      <c r="O51" s="38">
        <v>300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>
        <v>1800</v>
      </c>
      <c r="AL51" s="38">
        <f>600+25*30</f>
        <v>1350</v>
      </c>
      <c r="AM51" s="38">
        <f>D51-G51-H51-I51-J51-K51-L51-M51-N51-O51-P51-Q51-R51-S51-T51-U51-V51-W51-X51-Y51-Z51-AA51-AB51-AC51-AD51-AE51-AF51-AG51-AH51-AI51-AJ51-AK51-AL51</f>
        <v>44400</v>
      </c>
      <c r="AN51" s="39">
        <f>AM51/30</f>
        <v>1480</v>
      </c>
    </row>
    <row r="52" spans="1:40">
      <c r="A52" s="51">
        <v>20148</v>
      </c>
      <c r="B52" s="38" t="s">
        <v>99</v>
      </c>
      <c r="C52" s="38" t="s">
        <v>149</v>
      </c>
      <c r="D52" s="38">
        <f>4246*30</f>
        <v>127380</v>
      </c>
      <c r="E52" s="38" t="s">
        <v>135</v>
      </c>
      <c r="F52" s="52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>
        <f>D52-G52-H52-I52-J52-K52-L52-M52-N52-O52-P52-Q52-R52-S52-T52-U52-V52-W52-X52-Y52-Z52-AA52-AB52-AC52-AD52-AE52-AF52-AG52-AH52-AI52-AJ52-AK52-AL52</f>
        <v>127380</v>
      </c>
      <c r="AN52" s="39">
        <f>AM52/30</f>
        <v>4246</v>
      </c>
    </row>
    <row r="53" spans="1:40">
      <c r="A53" s="51">
        <v>20148</v>
      </c>
      <c r="B53" s="38" t="s">
        <v>99</v>
      </c>
      <c r="C53" s="38" t="s">
        <v>150</v>
      </c>
      <c r="D53" s="38">
        <v>136410</v>
      </c>
      <c r="E53" s="38" t="s">
        <v>151</v>
      </c>
      <c r="F53" s="52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>
        <f>D53-G53-H53-I53-J53-K53-L53-M53-N53-O53-P53-Q53-R53-S53-T53-U53-V53-W53-X53-Y53-Z53-AA53-AB53-AC53-AD53-AE53-AF53-AG53-AH53-AI53-AJ53-AK53-AL53</f>
        <v>136410</v>
      </c>
      <c r="AN53" s="39">
        <f>AM53/30</f>
        <v>4547</v>
      </c>
    </row>
    <row r="54" s="53" customFormat="1" ht="17.65" spans="1:40">
      <c r="A54" s="51">
        <v>20148</v>
      </c>
      <c r="B54" s="38" t="s">
        <v>99</v>
      </c>
      <c r="C54" s="58" t="s">
        <v>152</v>
      </c>
      <c r="D54" s="58">
        <v>107940</v>
      </c>
      <c r="E54" s="58" t="s">
        <v>153</v>
      </c>
      <c r="F54" s="59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38">
        <f>D54-G54-H54-I54-J54-K54-L54-M54-N54-O54-P54-Q54-R54-S54-T54-U54-V54-W54-X54-Y54-Z54-AA54-AB54-AC54-AD54-AE54-AF54-AG54-AH54-AI54-AJ54-AK54-AL54</f>
        <v>107940</v>
      </c>
      <c r="AN54" s="39">
        <f>AM54/30</f>
        <v>3598</v>
      </c>
    </row>
    <row r="55" s="53" customFormat="1" ht="17.65" spans="1:40">
      <c r="A55" s="51">
        <v>20148</v>
      </c>
      <c r="B55" s="38" t="s">
        <v>99</v>
      </c>
      <c r="C55" s="58" t="s">
        <v>154</v>
      </c>
      <c r="D55" s="58">
        <v>26430</v>
      </c>
      <c r="E55" s="58" t="s">
        <v>140</v>
      </c>
      <c r="F55" s="59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38">
        <f>D55-G55-H55-I55-J55-K55-L55-M55-N55-O55-P55-Q55-R55-S55-T55-U55-V55-W55-X55-Y55-Z55-AA55-AB55-AC55-AD55-AE55-AF55-AG55-AH55-AI55-AJ55-AK55-AL55</f>
        <v>26430</v>
      </c>
      <c r="AN55" s="39">
        <f>AM55/30</f>
        <v>881</v>
      </c>
    </row>
    <row r="56" s="53" customFormat="1" spans="1:40">
      <c r="A56" s="60"/>
      <c r="B56" s="58"/>
      <c r="C56" s="58"/>
      <c r="D56" s="58"/>
      <c r="E56" s="58"/>
      <c r="F56" s="59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38"/>
      <c r="AN56" s="39"/>
    </row>
    <row r="57" s="53" customFormat="1" ht="35.25" spans="1:40">
      <c r="A57" s="60">
        <v>20858</v>
      </c>
      <c r="B57" s="58" t="s">
        <v>155</v>
      </c>
      <c r="C57" s="58" t="s">
        <v>156</v>
      </c>
      <c r="D57" s="58">
        <f>700*30</f>
        <v>21000</v>
      </c>
      <c r="E57" s="58" t="s">
        <v>135</v>
      </c>
      <c r="F57" s="59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38">
        <f>D57-G57-H57-I57-J57-K57-L57-M57-N57-O57-P57-Q57-R57-S57-T57-U57-V57-W57-X57-Y57-Z57-AA57-AB57-AC57-AD57-AE57-AF57-AG57-AH57-AI57-AJ57-AK57-AL57</f>
        <v>21000</v>
      </c>
      <c r="AN57" s="39">
        <f>AM57/30</f>
        <v>700</v>
      </c>
    </row>
    <row r="58" spans="1:40">
      <c r="A58" s="51"/>
      <c r="B58" s="38"/>
      <c r="C58" s="38"/>
      <c r="D58" s="38"/>
      <c r="E58" s="38"/>
      <c r="F58" s="52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9"/>
    </row>
    <row r="59" spans="1:40">
      <c r="A59" s="51">
        <v>20763</v>
      </c>
      <c r="B59" s="38" t="s">
        <v>157</v>
      </c>
      <c r="C59" s="38" t="s">
        <v>158</v>
      </c>
      <c r="D59" s="38">
        <v>12000</v>
      </c>
      <c r="E59" s="38" t="s">
        <v>151</v>
      </c>
      <c r="F59" s="52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>
        <v>300</v>
      </c>
      <c r="AL59" s="38"/>
      <c r="AM59" s="38">
        <f>D59-G59-H59-I59-J59-K59-L59-M59-N59-O59-P59-Q59-R59-S59-T59-U59-V59-W59-X59-Y59-Z59-AA59-AB59-AC59-AD59-AE59-AF59-AG59-AH59-AI59-AJ59-AK59-AL59</f>
        <v>11700</v>
      </c>
      <c r="AN59" s="39">
        <f>AM59/30</f>
        <v>390</v>
      </c>
    </row>
    <row r="60" spans="1:40">
      <c r="A60" s="51"/>
      <c r="B60" s="38"/>
      <c r="C60" s="38"/>
      <c r="D60" s="38"/>
      <c r="E60" s="38"/>
      <c r="F60" s="52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</row>
    <row r="61" spans="1:40">
      <c r="A61" s="51"/>
      <c r="B61" s="38"/>
      <c r="C61" s="38"/>
      <c r="D61" s="38"/>
      <c r="E61" s="38"/>
      <c r="F61" s="52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9"/>
    </row>
    <row r="62" spans="1:40">
      <c r="A62" s="51"/>
      <c r="B62" s="38"/>
      <c r="C62" s="38"/>
      <c r="D62" s="38"/>
      <c r="E62" s="38"/>
      <c r="F62" s="52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9"/>
    </row>
    <row r="63" spans="1:40">
      <c r="A63" s="51"/>
      <c r="B63" s="38"/>
      <c r="C63" s="38"/>
      <c r="D63" s="38"/>
      <c r="E63" s="38"/>
      <c r="F63" s="52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9"/>
    </row>
    <row r="64" spans="1:40">
      <c r="A64" s="51"/>
      <c r="B64" s="38"/>
      <c r="C64" s="38"/>
      <c r="D64" s="38"/>
      <c r="E64" s="38"/>
      <c r="F64" s="52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9"/>
    </row>
    <row r="65" spans="1:40">
      <c r="A65" s="51"/>
      <c r="B65" s="38"/>
      <c r="C65" s="38"/>
      <c r="D65" s="38"/>
      <c r="E65" s="38"/>
      <c r="F65" s="52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9"/>
    </row>
    <row r="66" spans="1:40">
      <c r="A66" s="51"/>
      <c r="B66" s="38"/>
      <c r="C66" s="38"/>
      <c r="D66" s="38"/>
      <c r="E66" s="38"/>
      <c r="F66" s="52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9"/>
    </row>
    <row r="67" spans="1:40">
      <c r="A67" s="51"/>
      <c r="B67" s="38"/>
      <c r="C67" s="38"/>
      <c r="D67" s="38"/>
      <c r="E67" s="38"/>
      <c r="F67" s="52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9"/>
    </row>
    <row r="68" spans="1:40">
      <c r="A68" s="51"/>
      <c r="B68" s="38"/>
      <c r="C68" s="38"/>
      <c r="D68" s="38"/>
      <c r="E68" s="38"/>
      <c r="F68" s="52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9"/>
    </row>
    <row r="69" spans="1:40">
      <c r="A69" s="51"/>
      <c r="B69" s="38"/>
      <c r="C69" s="38"/>
      <c r="D69" s="38"/>
      <c r="E69" s="38"/>
      <c r="F69" s="52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9"/>
    </row>
    <row r="70" spans="1:40">
      <c r="A70" s="51"/>
      <c r="B70" s="38"/>
      <c r="C70" s="38"/>
      <c r="D70" s="38"/>
      <c r="E70" s="38"/>
      <c r="F70" s="52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9"/>
    </row>
    <row r="71" spans="1:40">
      <c r="A71" s="51"/>
      <c r="B71" s="38"/>
      <c r="C71" s="38"/>
      <c r="D71" s="38"/>
      <c r="E71" s="38"/>
      <c r="F71" s="52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9"/>
    </row>
    <row r="72" spans="1:40">
      <c r="A72" s="51"/>
      <c r="B72" s="38"/>
      <c r="C72" s="38"/>
      <c r="D72" s="38"/>
      <c r="E72" s="38"/>
      <c r="F72" s="52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9"/>
    </row>
    <row r="73" spans="1:40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9"/>
    </row>
    <row r="74" spans="1:40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9"/>
    </row>
    <row r="75" spans="1:40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9"/>
    </row>
    <row r="76" spans="1:40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9"/>
    </row>
    <row r="77" spans="1:40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9"/>
    </row>
    <row r="78" spans="1:40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9"/>
    </row>
    <row r="79" spans="1:40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9"/>
    </row>
    <row r="80" spans="1:40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</row>
    <row r="81" spans="1:40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</row>
    <row r="82" spans="1:40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</row>
    <row r="83" spans="1:40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</row>
    <row r="84" spans="1:40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</row>
    <row r="85" spans="1:40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</row>
    <row r="86" spans="1:40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</row>
    <row r="87" spans="1:40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</row>
    <row r="88" spans="1:40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</row>
    <row r="89" spans="1:40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</row>
    <row r="90" spans="1:40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</row>
    <row r="91" spans="1:40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</row>
    <row r="92" spans="1:40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</row>
    <row r="93" spans="1:40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</row>
    <row r="94" spans="1:40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</row>
    <row r="95" spans="1:40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</row>
    <row r="96" spans="1:40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</row>
    <row r="97" spans="1:40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</row>
    <row r="98" spans="1:40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9"/>
    </row>
    <row r="99" spans="1:40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9"/>
    </row>
    <row r="100" spans="1:40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9"/>
    </row>
    <row r="101" spans="1:40">
      <c r="A101" s="51"/>
      <c r="B101" s="38"/>
      <c r="C101" s="38"/>
      <c r="D101" s="38"/>
      <c r="E101" s="38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9"/>
    </row>
    <row r="102" spans="1:40">
      <c r="A102" s="51"/>
      <c r="B102" s="38"/>
      <c r="C102" s="38"/>
      <c r="D102" s="38"/>
      <c r="E102" s="38"/>
      <c r="F102" s="52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9"/>
    </row>
    <row r="103" spans="1:40">
      <c r="A103" s="51"/>
      <c r="B103" s="52"/>
      <c r="C103" s="52"/>
      <c r="D103" s="52"/>
      <c r="E103" s="52"/>
      <c r="F103" s="52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9"/>
    </row>
  </sheetData>
  <autoFilter xmlns:etc="http://www.wps.cn/officeDocument/2017/etCustomData" ref="A1:AN103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117"/>
  <sheetViews>
    <sheetView workbookViewId="0">
      <pane ySplit="1" topLeftCell="A6" activePane="bottomLeft" state="frozen"/>
      <selection/>
      <selection pane="bottomLeft" activeCell="E20" sqref="E20"/>
    </sheetView>
  </sheetViews>
  <sheetFormatPr defaultColWidth="9" defaultRowHeight="17.6"/>
  <cols>
    <col min="2" max="2" width="28.7522123893805" customWidth="1"/>
    <col min="3" max="3" width="21.5044247787611" customWidth="1"/>
    <col min="4" max="4" width="9.12389380530973" customWidth="1"/>
    <col min="5" max="5" width="10.7522123893805" customWidth="1"/>
    <col min="6" max="6" width="11.1238938053097" customWidth="1"/>
    <col min="7" max="7" width="8.3716814159292" style="1" hidden="1" customWidth="1"/>
    <col min="8" max="8" width="9.12389380530973" style="1" hidden="1" customWidth="1"/>
    <col min="9" max="9" width="7.12389380530973" style="1" hidden="1" customWidth="1"/>
    <col min="10" max="10" width="8.24778761061947" style="1" hidden="1" customWidth="1"/>
    <col min="11" max="13" width="7.12389380530973" style="1" hidden="1" customWidth="1"/>
    <col min="14" max="14" width="8.6283185840708" style="1" hidden="1" customWidth="1"/>
    <col min="15" max="15" width="8.24778761061947" style="1" hidden="1" customWidth="1"/>
    <col min="16" max="16" width="8.50442477876106" style="1" hidden="1" customWidth="1"/>
    <col min="17" max="17" width="8.6283185840708" style="1" hidden="1" customWidth="1"/>
    <col min="18" max="18" width="8.50442477876106" style="1" hidden="1" customWidth="1"/>
    <col min="19" max="30" width="7.12389380530973" style="1" hidden="1" customWidth="1"/>
    <col min="31" max="31" width="8.3716814159292" style="1" hidden="1" customWidth="1"/>
    <col min="32" max="32" width="9" style="1" hidden="1" customWidth="1"/>
    <col min="33" max="33" width="9.6283185840708" style="1" hidden="1" customWidth="1"/>
    <col min="34" max="34" width="7.12389380530973" style="1" hidden="1" customWidth="1"/>
    <col min="35" max="35" width="7.75221238938053" style="1" hidden="1" customWidth="1"/>
    <col min="36" max="36" width="7.76106194690265" style="1" hidden="1" customWidth="1"/>
    <col min="37" max="37" width="13.8761061946903" style="1" customWidth="1"/>
    <col min="38" max="38" width="9" style="1" customWidth="1"/>
    <col min="39" max="39" width="10" style="1" customWidth="1"/>
    <col min="40" max="40" width="11" style="1" customWidth="1"/>
    <col min="41" max="41" width="11.2477876106195" customWidth="1"/>
    <col min="42" max="42" width="11.2477876106195" style="5" customWidth="1"/>
  </cols>
  <sheetData>
    <row r="1" ht="27" customHeight="1" spans="1:42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159</v>
      </c>
      <c r="H1" s="38" t="s">
        <v>160</v>
      </c>
      <c r="I1" s="38" t="s">
        <v>161</v>
      </c>
      <c r="J1" s="38" t="s">
        <v>162</v>
      </c>
      <c r="K1" s="38" t="s">
        <v>163</v>
      </c>
      <c r="L1" s="38" t="s">
        <v>164</v>
      </c>
      <c r="M1" s="38" t="s">
        <v>165</v>
      </c>
      <c r="N1" s="38" t="s">
        <v>166</v>
      </c>
      <c r="O1" s="38" t="s">
        <v>167</v>
      </c>
      <c r="P1" s="38" t="s">
        <v>168</v>
      </c>
      <c r="Q1" s="38" t="s">
        <v>169</v>
      </c>
      <c r="R1" s="38" t="s">
        <v>170</v>
      </c>
      <c r="S1" s="38" t="s">
        <v>171</v>
      </c>
      <c r="T1" s="38" t="s">
        <v>172</v>
      </c>
      <c r="U1" s="38" t="s">
        <v>173</v>
      </c>
      <c r="V1" s="38" t="s">
        <v>174</v>
      </c>
      <c r="W1" s="38" t="s">
        <v>175</v>
      </c>
      <c r="X1" s="38" t="s">
        <v>176</v>
      </c>
      <c r="Y1" s="38" t="s">
        <v>177</v>
      </c>
      <c r="Z1" s="38" t="s">
        <v>178</v>
      </c>
      <c r="AA1" s="38" t="s">
        <v>179</v>
      </c>
      <c r="AB1" s="38" t="s">
        <v>180</v>
      </c>
      <c r="AC1" s="38" t="s">
        <v>181</v>
      </c>
      <c r="AD1" s="38" t="s">
        <v>182</v>
      </c>
      <c r="AE1" s="38" t="s">
        <v>183</v>
      </c>
      <c r="AF1" s="38" t="s">
        <v>184</v>
      </c>
      <c r="AG1" s="38" t="s">
        <v>185</v>
      </c>
      <c r="AH1" s="38" t="s">
        <v>186</v>
      </c>
      <c r="AI1" s="38" t="s">
        <v>187</v>
      </c>
      <c r="AJ1" s="38" t="s">
        <v>188</v>
      </c>
      <c r="AK1" s="38" t="s">
        <v>189</v>
      </c>
      <c r="AL1" s="38"/>
      <c r="AM1" s="38" t="s">
        <v>39</v>
      </c>
      <c r="AN1" s="38" t="s">
        <v>40</v>
      </c>
      <c r="AP1" s="10" t="s">
        <v>190</v>
      </c>
    </row>
    <row r="2" s="3" customFormat="1" spans="1:42">
      <c r="A2" s="39">
        <v>72067</v>
      </c>
      <c r="B2" s="39" t="s">
        <v>41</v>
      </c>
      <c r="C2" s="39" t="s">
        <v>54</v>
      </c>
      <c r="D2" s="39">
        <v>40620</v>
      </c>
      <c r="E2" s="39" t="s">
        <v>51</v>
      </c>
      <c r="F2" s="39"/>
      <c r="G2" s="39"/>
      <c r="H2" s="39"/>
      <c r="I2" s="39">
        <f>3000</f>
        <v>3000</v>
      </c>
      <c r="J2" s="39">
        <f>150+300</f>
        <v>450</v>
      </c>
      <c r="K2" s="39">
        <f>15000+3000</f>
        <v>18000</v>
      </c>
      <c r="L2" s="39">
        <f>4500+6000</f>
        <v>10500</v>
      </c>
      <c r="M2" s="39"/>
      <c r="N2" s="39"/>
      <c r="O2" s="39"/>
      <c r="P2" s="39">
        <f>8670</f>
        <v>8670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>
        <f t="shared" ref="AM2:AM27" si="0">D2-G2-H2-I2-J2-K2-L2-M2-N2-O2-P2-Q2-R2-S2-T2-U2-V2-W2-X2-Y2-Z2-AA2-AB2-AC2-AD2-AE2-AF2-AG2-AH2-AI2-AJ2-AK2-AL2</f>
        <v>0</v>
      </c>
      <c r="AN2" s="39">
        <f t="shared" ref="AN2:AN27" si="1">AM2/30</f>
        <v>0</v>
      </c>
      <c r="AP2" s="40" t="str">
        <f>IF(AM2=0,"",IF(AM2&lt;&gt;D2,"发过",""))</f>
        <v/>
      </c>
    </row>
    <row r="3" s="3" customFormat="1" spans="1:42">
      <c r="A3" s="39">
        <v>72067</v>
      </c>
      <c r="B3" s="39" t="s">
        <v>41</v>
      </c>
      <c r="C3" s="39" t="s">
        <v>55</v>
      </c>
      <c r="D3" s="39">
        <v>129300</v>
      </c>
      <c r="E3" s="39" t="s">
        <v>51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>
        <f>211*30+550*30+30*18</f>
        <v>23370</v>
      </c>
      <c r="Q3" s="39">
        <f>250*30+1000*30+3000</f>
        <v>40500</v>
      </c>
      <c r="R3" s="39">
        <f>3000+15000+9000+800*30</f>
        <v>51000</v>
      </c>
      <c r="S3" s="39">
        <f>14430</f>
        <v>14430</v>
      </c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>
        <f t="shared" si="0"/>
        <v>0</v>
      </c>
      <c r="AN3" s="39">
        <f t="shared" si="1"/>
        <v>0</v>
      </c>
      <c r="AP3" s="40" t="str">
        <f t="shared" ref="AP3:AP11" si="2">IF(AM3=0,"",IF(AM3&lt;&gt;D3,"发过",""))</f>
        <v/>
      </c>
    </row>
    <row r="4" s="3" customFormat="1" spans="1:42">
      <c r="A4" s="39">
        <v>72067</v>
      </c>
      <c r="B4" s="39" t="s">
        <v>41</v>
      </c>
      <c r="C4" s="39" t="s">
        <v>56</v>
      </c>
      <c r="D4" s="39">
        <v>129300</v>
      </c>
      <c r="E4" s="39" t="s">
        <v>51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>
        <f>50*30</f>
        <v>1500</v>
      </c>
      <c r="S4" s="39">
        <f>800*30+6000+419*30+200*30+200*30</f>
        <v>54570</v>
      </c>
      <c r="T4" s="39">
        <f>6000+9000</f>
        <v>15000</v>
      </c>
      <c r="U4" s="39"/>
      <c r="V4" s="39">
        <f>9000+3000+150*30+700*30</f>
        <v>37500</v>
      </c>
      <c r="W4" s="39">
        <f>600</f>
        <v>600</v>
      </c>
      <c r="X4" s="39">
        <f>15000</f>
        <v>15000</v>
      </c>
      <c r="Y4" s="39">
        <v>5130</v>
      </c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>
        <f t="shared" si="0"/>
        <v>0</v>
      </c>
      <c r="AN4" s="39">
        <f t="shared" si="1"/>
        <v>0</v>
      </c>
      <c r="AP4" s="40" t="str">
        <f t="shared" si="2"/>
        <v/>
      </c>
    </row>
    <row r="5" s="3" customFormat="1" spans="1:42">
      <c r="A5" s="39">
        <v>72067</v>
      </c>
      <c r="B5" s="39" t="s">
        <v>41</v>
      </c>
      <c r="C5" s="39" t="s">
        <v>47</v>
      </c>
      <c r="D5" s="39">
        <v>1200</v>
      </c>
      <c r="E5" s="39" t="s">
        <v>43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>
        <v>1200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>
        <f t="shared" si="0"/>
        <v>0</v>
      </c>
      <c r="AN5" s="39">
        <f t="shared" si="1"/>
        <v>0</v>
      </c>
      <c r="AP5" s="40" t="str">
        <f t="shared" si="2"/>
        <v/>
      </c>
    </row>
    <row r="6" s="3" customFormat="1" spans="1:42">
      <c r="A6" s="39">
        <v>72067</v>
      </c>
      <c r="B6" s="39" t="s">
        <v>41</v>
      </c>
      <c r="C6" s="39" t="s">
        <v>57</v>
      </c>
      <c r="D6" s="39">
        <v>207360</v>
      </c>
      <c r="E6" s="39" t="s">
        <v>51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>
        <f>6000+15000+520*30</f>
        <v>36600</v>
      </c>
      <c r="Y6" s="39">
        <f>6000+639*30+1500+900+3000</f>
        <v>30570</v>
      </c>
      <c r="Z6" s="39">
        <f>6000+9000+300+9000+6000</f>
        <v>30300</v>
      </c>
      <c r="AA6" s="39">
        <f>600*30+3000+3000</f>
        <v>24000</v>
      </c>
      <c r="AB6" s="39"/>
      <c r="AC6" s="39">
        <f>6000+1800+280*30+3000</f>
        <v>19200</v>
      </c>
      <c r="AD6" s="39">
        <f>400*30+6000+6000+500*30</f>
        <v>39000</v>
      </c>
      <c r="AE6" s="39">
        <f>523*30+12000</f>
        <v>27690</v>
      </c>
      <c r="AF6" s="39"/>
      <c r="AG6" s="39"/>
      <c r="AH6" s="39"/>
      <c r="AI6" s="39"/>
      <c r="AJ6" s="39"/>
      <c r="AK6" s="39"/>
      <c r="AL6" s="39"/>
      <c r="AM6" s="39">
        <f t="shared" si="0"/>
        <v>0</v>
      </c>
      <c r="AN6" s="39">
        <f t="shared" si="1"/>
        <v>0</v>
      </c>
      <c r="AP6" s="40" t="str">
        <f t="shared" si="2"/>
        <v/>
      </c>
    </row>
    <row r="7" s="3" customFormat="1" spans="1:42">
      <c r="A7" s="39">
        <v>72067</v>
      </c>
      <c r="B7" s="39" t="s">
        <v>41</v>
      </c>
      <c r="C7" s="39" t="s">
        <v>58</v>
      </c>
      <c r="D7" s="39">
        <v>140040</v>
      </c>
      <c r="E7" s="39" t="s">
        <v>51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>
        <f>6000+390</f>
        <v>6390</v>
      </c>
      <c r="AE7" s="39">
        <f>6000+77*30+6000+2400+15000+9000+3000</f>
        <v>43710</v>
      </c>
      <c r="AF7" s="39">
        <f>578*30+300*30+9*30+200*30+30*600+240+1000*30</f>
        <v>80850</v>
      </c>
      <c r="AG7" s="39"/>
      <c r="AH7" s="39"/>
      <c r="AI7" s="39"/>
      <c r="AJ7" s="39"/>
      <c r="AK7" s="39"/>
      <c r="AL7" s="39"/>
      <c r="AM7" s="39">
        <f t="shared" si="0"/>
        <v>9090</v>
      </c>
      <c r="AN7" s="39">
        <f t="shared" si="1"/>
        <v>303</v>
      </c>
      <c r="AO7" s="3" t="s">
        <v>191</v>
      </c>
      <c r="AP7" s="40" t="str">
        <f t="shared" si="2"/>
        <v>发过</v>
      </c>
    </row>
    <row r="8" s="3" customFormat="1" spans="1:42">
      <c r="A8" s="39">
        <v>72067</v>
      </c>
      <c r="B8" s="39" t="s">
        <v>41</v>
      </c>
      <c r="C8" s="39" t="s">
        <v>134</v>
      </c>
      <c r="D8" s="39">
        <v>26310</v>
      </c>
      <c r="E8" s="39" t="s">
        <v>135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>
        <f>8*30</f>
        <v>240</v>
      </c>
      <c r="AG8" s="39">
        <f>200*30+30*70+28*30+6000+90</f>
        <v>15030</v>
      </c>
      <c r="AH8" s="39"/>
      <c r="AI8" s="39"/>
      <c r="AJ8" s="39">
        <f>11040</f>
        <v>11040</v>
      </c>
      <c r="AK8" s="39"/>
      <c r="AL8" s="39"/>
      <c r="AM8" s="39">
        <f t="shared" si="0"/>
        <v>0</v>
      </c>
      <c r="AN8" s="39">
        <f t="shared" si="1"/>
        <v>0</v>
      </c>
      <c r="AP8" s="40" t="str">
        <f t="shared" si="2"/>
        <v/>
      </c>
    </row>
    <row r="9" s="3" customFormat="1" ht="17.65" spans="1:42">
      <c r="A9" s="39">
        <v>72067</v>
      </c>
      <c r="B9" s="39" t="s">
        <v>41</v>
      </c>
      <c r="C9" s="41" t="s">
        <v>136</v>
      </c>
      <c r="D9" s="39">
        <v>208860</v>
      </c>
      <c r="E9" s="39" t="s">
        <v>135</v>
      </c>
      <c r="F9" s="42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>
        <f>3*30</f>
        <v>90</v>
      </c>
      <c r="AG9" s="39">
        <f>400*30+300*30</f>
        <v>21000</v>
      </c>
      <c r="AH9" s="39">
        <f>1500+720*30+9000+3000+1000*30</f>
        <v>65100</v>
      </c>
      <c r="AI9" s="39"/>
      <c r="AJ9" s="39">
        <f>1132*30+3000+800*30+1000*30</f>
        <v>90960</v>
      </c>
      <c r="AK9" s="39">
        <f>1057*30</f>
        <v>31710</v>
      </c>
      <c r="AL9" s="39"/>
      <c r="AM9" s="39">
        <f t="shared" si="0"/>
        <v>0</v>
      </c>
      <c r="AN9" s="39">
        <f t="shared" si="1"/>
        <v>0</v>
      </c>
      <c r="AP9" s="40" t="str">
        <f t="shared" si="2"/>
        <v/>
      </c>
    </row>
    <row r="10" s="3" customFormat="1" ht="17.65" spans="1:42">
      <c r="A10" s="39">
        <v>72067</v>
      </c>
      <c r="B10" s="39" t="s">
        <v>41</v>
      </c>
      <c r="C10" s="41" t="s">
        <v>137</v>
      </c>
      <c r="D10" s="39">
        <v>104040</v>
      </c>
      <c r="E10" s="39" t="s">
        <v>138</v>
      </c>
      <c r="F10" s="42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>
        <f>16*30</f>
        <v>480</v>
      </c>
      <c r="AL10" s="39"/>
      <c r="AM10" s="39">
        <f t="shared" si="0"/>
        <v>103560</v>
      </c>
      <c r="AN10" s="39">
        <f t="shared" si="1"/>
        <v>3452</v>
      </c>
      <c r="AP10" s="40" t="str">
        <f t="shared" si="2"/>
        <v>发过</v>
      </c>
    </row>
    <row r="11" s="3" customFormat="1" ht="17.65" spans="1:42">
      <c r="A11" s="39">
        <v>72067</v>
      </c>
      <c r="B11" s="39" t="s">
        <v>41</v>
      </c>
      <c r="C11" s="41" t="s">
        <v>139</v>
      </c>
      <c r="D11" s="39">
        <v>78120</v>
      </c>
      <c r="E11" s="39" t="s">
        <v>140</v>
      </c>
      <c r="F11" s="42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>
        <f t="shared" si="0"/>
        <v>78120</v>
      </c>
      <c r="AN11" s="39">
        <f t="shared" si="1"/>
        <v>2604</v>
      </c>
      <c r="AP11" s="40" t="str">
        <f t="shared" ref="AP11:AP28" si="3">IF(AM11=0,"",IF(AM11&lt;&gt;D11,"发过",""))</f>
        <v/>
      </c>
    </row>
    <row r="12" s="3" customFormat="1" ht="17.65" spans="1:42">
      <c r="A12" s="39">
        <v>72067</v>
      </c>
      <c r="B12" s="39" t="s">
        <v>41</v>
      </c>
      <c r="C12" s="41" t="s">
        <v>192</v>
      </c>
      <c r="D12" s="39">
        <v>28050</v>
      </c>
      <c r="E12" s="39" t="s">
        <v>193</v>
      </c>
      <c r="F12" s="42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>
        <v>28050</v>
      </c>
      <c r="AG12" s="39"/>
      <c r="AH12" s="39"/>
      <c r="AI12" s="39"/>
      <c r="AJ12" s="39"/>
      <c r="AK12" s="39"/>
      <c r="AL12" s="39"/>
      <c r="AM12" s="39">
        <f t="shared" si="0"/>
        <v>0</v>
      </c>
      <c r="AN12" s="39">
        <f t="shared" si="1"/>
        <v>0</v>
      </c>
      <c r="AP12" s="40" t="str">
        <f t="shared" si="3"/>
        <v/>
      </c>
    </row>
    <row r="13" s="3" customFormat="1" ht="17.65" spans="1:42">
      <c r="A13" s="39">
        <v>72067</v>
      </c>
      <c r="B13" s="39" t="s">
        <v>41</v>
      </c>
      <c r="C13" s="41" t="s">
        <v>194</v>
      </c>
      <c r="D13" s="39">
        <v>156240</v>
      </c>
      <c r="E13" s="39" t="s">
        <v>193</v>
      </c>
      <c r="F13" s="42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>
        <f t="shared" si="0"/>
        <v>156240</v>
      </c>
      <c r="AN13" s="39">
        <f t="shared" si="1"/>
        <v>5208</v>
      </c>
      <c r="AP13" s="40" t="str">
        <f t="shared" si="3"/>
        <v/>
      </c>
    </row>
    <row r="14" s="3" customFormat="1" ht="17.65" spans="1:42">
      <c r="A14" s="39">
        <v>72067</v>
      </c>
      <c r="B14" s="39" t="s">
        <v>41</v>
      </c>
      <c r="C14" s="41" t="s">
        <v>195</v>
      </c>
      <c r="D14" s="39">
        <v>104310</v>
      </c>
      <c r="E14" s="39" t="s">
        <v>193</v>
      </c>
      <c r="F14" s="42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>
        <f t="shared" si="0"/>
        <v>104310</v>
      </c>
      <c r="AN14" s="39">
        <f t="shared" si="1"/>
        <v>3477</v>
      </c>
      <c r="AP14" s="40" t="str">
        <f t="shared" si="3"/>
        <v/>
      </c>
    </row>
    <row r="15" s="3" customFormat="1" ht="17.65" spans="1:42">
      <c r="A15" s="39">
        <v>72067</v>
      </c>
      <c r="B15" s="39" t="s">
        <v>41</v>
      </c>
      <c r="C15" s="41" t="s">
        <v>196</v>
      </c>
      <c r="D15" s="39">
        <v>104400</v>
      </c>
      <c r="E15" s="39" t="s">
        <v>197</v>
      </c>
      <c r="F15" s="42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>
        <f t="shared" si="0"/>
        <v>104400</v>
      </c>
      <c r="AN15" s="39">
        <f t="shared" si="1"/>
        <v>3480</v>
      </c>
      <c r="AP15" s="40" t="str">
        <f t="shared" si="3"/>
        <v/>
      </c>
    </row>
    <row r="16" s="3" customFormat="1" ht="17.65" spans="1:42">
      <c r="A16" s="39">
        <v>72067</v>
      </c>
      <c r="B16" s="39" t="s">
        <v>41</v>
      </c>
      <c r="C16" s="41" t="s">
        <v>198</v>
      </c>
      <c r="D16" s="39">
        <v>167760</v>
      </c>
      <c r="E16" s="39" t="s">
        <v>199</v>
      </c>
      <c r="F16" s="42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>
        <f t="shared" si="0"/>
        <v>167760</v>
      </c>
      <c r="AN16" s="39">
        <f t="shared" si="1"/>
        <v>5592</v>
      </c>
      <c r="AP16" s="40" t="str">
        <f t="shared" si="3"/>
        <v/>
      </c>
    </row>
    <row r="17" s="3" customFormat="1" ht="17.65" spans="1:42">
      <c r="A17" s="39">
        <v>72067</v>
      </c>
      <c r="B17" s="39" t="s">
        <v>41</v>
      </c>
      <c r="C17" s="41" t="s">
        <v>200</v>
      </c>
      <c r="D17" s="39">
        <v>208500</v>
      </c>
      <c r="E17" s="39" t="s">
        <v>201</v>
      </c>
      <c r="F17" s="42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>
        <f t="shared" si="0"/>
        <v>208500</v>
      </c>
      <c r="AN17" s="39">
        <f t="shared" si="1"/>
        <v>6950</v>
      </c>
      <c r="AP17" s="40" t="str">
        <f t="shared" si="3"/>
        <v/>
      </c>
    </row>
    <row r="18" s="3" customFormat="1" ht="17.65" spans="1:42">
      <c r="A18" s="39">
        <v>72067</v>
      </c>
      <c r="B18" s="39" t="s">
        <v>41</v>
      </c>
      <c r="C18" s="41" t="s">
        <v>202</v>
      </c>
      <c r="D18" s="39">
        <v>208560</v>
      </c>
      <c r="E18" s="39" t="s">
        <v>203</v>
      </c>
      <c r="F18" s="42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>
        <f t="shared" si="0"/>
        <v>208560</v>
      </c>
      <c r="AN18" s="39">
        <f t="shared" si="1"/>
        <v>6952</v>
      </c>
      <c r="AP18" s="40" t="str">
        <f t="shared" si="3"/>
        <v/>
      </c>
    </row>
    <row r="19" s="3" customFormat="1" ht="17.65" spans="1:42">
      <c r="A19" s="39">
        <v>72067</v>
      </c>
      <c r="B19" s="39" t="s">
        <v>41</v>
      </c>
      <c r="C19" s="41" t="s">
        <v>204</v>
      </c>
      <c r="D19" s="39">
        <v>208530</v>
      </c>
      <c r="E19" s="39" t="s">
        <v>205</v>
      </c>
      <c r="F19" s="42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>
        <f t="shared" si="0"/>
        <v>208530</v>
      </c>
      <c r="AN19" s="39">
        <f t="shared" si="1"/>
        <v>6951</v>
      </c>
      <c r="AP19" s="40" t="str">
        <f t="shared" si="3"/>
        <v/>
      </c>
    </row>
    <row r="20" s="3" customFormat="1" ht="17.65" spans="1:42">
      <c r="A20" s="39">
        <v>72067</v>
      </c>
      <c r="B20" s="39" t="s">
        <v>41</v>
      </c>
      <c r="C20" s="41" t="s">
        <v>206</v>
      </c>
      <c r="D20" s="39">
        <v>208500</v>
      </c>
      <c r="E20" s="39" t="s">
        <v>205</v>
      </c>
      <c r="F20" s="42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>
        <f t="shared" si="0"/>
        <v>208500</v>
      </c>
      <c r="AN20" s="39">
        <f t="shared" si="1"/>
        <v>6950</v>
      </c>
      <c r="AP20" s="40" t="str">
        <f t="shared" si="3"/>
        <v/>
      </c>
    </row>
    <row r="21" s="3" customFormat="1" ht="17.65" spans="1:42">
      <c r="A21" s="39">
        <v>72067</v>
      </c>
      <c r="B21" s="39" t="s">
        <v>41</v>
      </c>
      <c r="C21" s="41" t="s">
        <v>207</v>
      </c>
      <c r="D21" s="39">
        <v>208470</v>
      </c>
      <c r="E21" s="39" t="s">
        <v>208</v>
      </c>
      <c r="F21" s="42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>
        <v>7200</v>
      </c>
      <c r="AG21" s="39">
        <f>20370</f>
        <v>20370</v>
      </c>
      <c r="AH21" s="39"/>
      <c r="AI21" s="39"/>
      <c r="AJ21" s="39"/>
      <c r="AK21" s="39"/>
      <c r="AL21" s="39"/>
      <c r="AM21" s="39">
        <f t="shared" si="0"/>
        <v>180900</v>
      </c>
      <c r="AN21" s="39">
        <f t="shared" si="1"/>
        <v>6030</v>
      </c>
      <c r="AP21" s="40" t="str">
        <f t="shared" si="3"/>
        <v>发过</v>
      </c>
    </row>
    <row r="22" s="3" customFormat="1" ht="17.65" spans="1:42">
      <c r="A22" s="39">
        <v>72067</v>
      </c>
      <c r="B22" s="39" t="s">
        <v>41</v>
      </c>
      <c r="C22" s="41" t="s">
        <v>209</v>
      </c>
      <c r="D22" s="39">
        <v>208500</v>
      </c>
      <c r="E22" s="39" t="s">
        <v>210</v>
      </c>
      <c r="F22" s="42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>
        <f t="shared" si="0"/>
        <v>208500</v>
      </c>
      <c r="AN22" s="39">
        <f t="shared" si="1"/>
        <v>6950</v>
      </c>
      <c r="AP22" s="40" t="str">
        <f t="shared" ref="AP22:AP53" si="4">IF(AM22=0,"",IF(AM22&lt;&gt;D22,"发过",""))</f>
        <v/>
      </c>
    </row>
    <row r="23" s="3" customFormat="1" ht="17.65" spans="1:42">
      <c r="A23" s="39">
        <v>72067</v>
      </c>
      <c r="B23" s="39" t="s">
        <v>41</v>
      </c>
      <c r="C23" s="41" t="s">
        <v>211</v>
      </c>
      <c r="D23" s="39">
        <v>208500</v>
      </c>
      <c r="E23" s="39" t="s">
        <v>212</v>
      </c>
      <c r="F23" s="42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>
        <f t="shared" si="0"/>
        <v>208500</v>
      </c>
      <c r="AN23" s="39">
        <f t="shared" si="1"/>
        <v>6950</v>
      </c>
      <c r="AP23" s="40" t="str">
        <f t="shared" si="4"/>
        <v/>
      </c>
    </row>
    <row r="24" s="3" customFormat="1" ht="17.65" spans="1:42">
      <c r="A24" s="39">
        <v>72067</v>
      </c>
      <c r="B24" s="39" t="s">
        <v>41</v>
      </c>
      <c r="C24" s="41" t="s">
        <v>213</v>
      </c>
      <c r="D24" s="39">
        <v>209100</v>
      </c>
      <c r="E24" s="39" t="s">
        <v>214</v>
      </c>
      <c r="F24" s="42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>
        <f t="shared" si="0"/>
        <v>209100</v>
      </c>
      <c r="AN24" s="39">
        <f t="shared" si="1"/>
        <v>6970</v>
      </c>
      <c r="AP24" s="40" t="str">
        <f t="shared" si="4"/>
        <v/>
      </c>
    </row>
    <row r="25" s="3" customFormat="1" ht="17.65" spans="1:42">
      <c r="A25" s="39">
        <v>72067</v>
      </c>
      <c r="B25" s="39" t="s">
        <v>41</v>
      </c>
      <c r="C25" s="41" t="s">
        <v>215</v>
      </c>
      <c r="D25" s="39">
        <v>130290</v>
      </c>
      <c r="E25" s="39" t="s">
        <v>216</v>
      </c>
      <c r="F25" s="42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>
        <f t="shared" si="0"/>
        <v>130290</v>
      </c>
      <c r="AN25" s="39">
        <f t="shared" si="1"/>
        <v>4343</v>
      </c>
      <c r="AP25" s="40" t="str">
        <f t="shared" si="4"/>
        <v/>
      </c>
    </row>
    <row r="26" s="3" customFormat="1" ht="17.65" spans="1:42">
      <c r="A26" s="39">
        <v>72067</v>
      </c>
      <c r="B26" s="39" t="s">
        <v>41</v>
      </c>
      <c r="C26" s="41" t="s">
        <v>217</v>
      </c>
      <c r="D26" s="39">
        <v>78390</v>
      </c>
      <c r="E26" s="39" t="s">
        <v>216</v>
      </c>
      <c r="F26" s="42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>
        <f t="shared" si="0"/>
        <v>78390</v>
      </c>
      <c r="AN26" s="39">
        <f t="shared" si="1"/>
        <v>2613</v>
      </c>
      <c r="AP26" s="40" t="str">
        <f t="shared" si="4"/>
        <v/>
      </c>
    </row>
    <row r="27" s="3" customFormat="1" ht="17.65" spans="1:42">
      <c r="A27" s="39">
        <v>72067</v>
      </c>
      <c r="B27" s="39" t="s">
        <v>41</v>
      </c>
      <c r="C27" s="41" t="s">
        <v>218</v>
      </c>
      <c r="D27" s="39">
        <v>104250</v>
      </c>
      <c r="E27" s="39" t="s">
        <v>216</v>
      </c>
      <c r="F27" s="42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>
        <f t="shared" si="0"/>
        <v>104250</v>
      </c>
      <c r="AN27" s="39">
        <f t="shared" si="1"/>
        <v>3475</v>
      </c>
      <c r="AP27" s="40" t="str">
        <f t="shared" si="4"/>
        <v/>
      </c>
    </row>
    <row r="28" s="3" customFormat="1" spans="1:42">
      <c r="A28" s="39"/>
      <c r="B28" s="43"/>
      <c r="C28" s="41"/>
      <c r="D28" s="39"/>
      <c r="E28" s="39"/>
      <c r="F28" s="42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P28" s="40" t="str">
        <f t="shared" si="4"/>
        <v/>
      </c>
    </row>
    <row r="29" s="3" customFormat="1" ht="17.65" spans="1:42">
      <c r="A29" s="39">
        <v>20380</v>
      </c>
      <c r="B29" s="43" t="s">
        <v>59</v>
      </c>
      <c r="C29" s="41" t="s">
        <v>60</v>
      </c>
      <c r="D29" s="39">
        <v>10170</v>
      </c>
      <c r="E29" s="39" t="s">
        <v>61</v>
      </c>
      <c r="F29" s="42"/>
      <c r="G29" s="39"/>
      <c r="H29" s="39"/>
      <c r="I29" s="39">
        <f>300+3000</f>
        <v>3300</v>
      </c>
      <c r="J29" s="39"/>
      <c r="K29" s="39">
        <f>300</f>
        <v>300</v>
      </c>
      <c r="L29" s="39">
        <f>1500+1500</f>
        <v>3000</v>
      </c>
      <c r="M29" s="39"/>
      <c r="N29" s="39"/>
      <c r="O29" s="39"/>
      <c r="P29" s="39"/>
      <c r="Q29" s="39">
        <f>300+29*30</f>
        <v>1170</v>
      </c>
      <c r="R29" s="39">
        <f>900+1500</f>
        <v>2400</v>
      </c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>
        <f t="shared" ref="AM29:AM40" si="5">D29-G29-H29-I29-J29-K29-L29-M29-N29-O29-P29-Q29-R29-S29-T29-U29-V29-W29-X29-Y29-Z29-AA29-AB29-AC29-AD29-AE29-AF29-AG29-AH29-AI29-AJ29-AK29-AL29</f>
        <v>0</v>
      </c>
      <c r="AN29" s="39">
        <f t="shared" ref="AN29:AN40" si="6">AM29/30</f>
        <v>0</v>
      </c>
      <c r="AP29" s="40" t="str">
        <f t="shared" si="4"/>
        <v/>
      </c>
    </row>
    <row r="30" s="3" customFormat="1" spans="1:42">
      <c r="A30" s="39">
        <v>20380</v>
      </c>
      <c r="B30" s="43" t="s">
        <v>59</v>
      </c>
      <c r="C30" s="39" t="s">
        <v>62</v>
      </c>
      <c r="D30" s="39">
        <v>134250</v>
      </c>
      <c r="E30" s="39" t="s">
        <v>61</v>
      </c>
      <c r="F30" s="44"/>
      <c r="G30" s="39"/>
      <c r="H30" s="39"/>
      <c r="I30" s="39"/>
      <c r="J30" s="39"/>
      <c r="K30" s="39"/>
      <c r="L30" s="39"/>
      <c r="M30" s="39"/>
      <c r="N30" s="39"/>
      <c r="O30" s="39">
        <f>134250</f>
        <v>134250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>
        <f t="shared" si="5"/>
        <v>0</v>
      </c>
      <c r="AN30" s="39">
        <f t="shared" si="6"/>
        <v>0</v>
      </c>
      <c r="AP30" s="40" t="str">
        <f t="shared" si="4"/>
        <v/>
      </c>
    </row>
    <row r="31" s="3" customFormat="1" spans="1:42">
      <c r="A31" s="39">
        <v>20380</v>
      </c>
      <c r="B31" s="43" t="s">
        <v>59</v>
      </c>
      <c r="C31" s="39" t="s">
        <v>63</v>
      </c>
      <c r="D31" s="39">
        <v>134250</v>
      </c>
      <c r="E31" s="39" t="s">
        <v>61</v>
      </c>
      <c r="F31" s="44"/>
      <c r="G31" s="39"/>
      <c r="H31" s="39"/>
      <c r="I31" s="39"/>
      <c r="J31" s="39"/>
      <c r="K31" s="39"/>
      <c r="L31" s="39"/>
      <c r="M31" s="39"/>
      <c r="N31" s="39"/>
      <c r="O31" s="39"/>
      <c r="P31" s="39">
        <v>134250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>
        <f t="shared" si="5"/>
        <v>0</v>
      </c>
      <c r="AN31" s="39">
        <f t="shared" si="6"/>
        <v>0</v>
      </c>
      <c r="AP31" s="40" t="str">
        <f t="shared" si="4"/>
        <v/>
      </c>
    </row>
    <row r="32" s="3" customFormat="1" spans="1:42">
      <c r="A32" s="39">
        <v>20380</v>
      </c>
      <c r="B32" s="43" t="s">
        <v>59</v>
      </c>
      <c r="C32" s="39" t="s">
        <v>64</v>
      </c>
      <c r="D32" s="39">
        <v>134580</v>
      </c>
      <c r="E32" s="39" t="s">
        <v>61</v>
      </c>
      <c r="F32" s="4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>
        <v>134580</v>
      </c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>
        <f t="shared" si="5"/>
        <v>0</v>
      </c>
      <c r="AN32" s="39">
        <f t="shared" si="6"/>
        <v>0</v>
      </c>
      <c r="AP32" s="40" t="str">
        <f t="shared" si="4"/>
        <v/>
      </c>
    </row>
    <row r="33" s="3" customFormat="1" spans="1:42">
      <c r="A33" s="39">
        <v>20380</v>
      </c>
      <c r="B33" s="43" t="s">
        <v>59</v>
      </c>
      <c r="C33" s="39" t="s">
        <v>65</v>
      </c>
      <c r="D33" s="39">
        <v>134280</v>
      </c>
      <c r="E33" s="39" t="s">
        <v>61</v>
      </c>
      <c r="F33" s="4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>
        <f>71*30</f>
        <v>2130</v>
      </c>
      <c r="R33" s="39"/>
      <c r="S33" s="39">
        <f>170*30+1500+1500+3000+300+3000</f>
        <v>14400</v>
      </c>
      <c r="T33" s="39">
        <f>1500</f>
        <v>1500</v>
      </c>
      <c r="U33" s="39"/>
      <c r="V33" s="39">
        <f>900+3000</f>
        <v>3900</v>
      </c>
      <c r="W33" s="39">
        <f>150+1500+3000+1500</f>
        <v>6150</v>
      </c>
      <c r="X33" s="39">
        <f>4500+70*30+1500+60*30</f>
        <v>9900</v>
      </c>
      <c r="Y33" s="39">
        <f>1500+180*30+4500+150+600+1500</f>
        <v>13650</v>
      </c>
      <c r="Z33" s="39">
        <f>350*30+3000+3000+3000</f>
        <v>19500</v>
      </c>
      <c r="AA33" s="39">
        <f>1500+30*250+900</f>
        <v>9900</v>
      </c>
      <c r="AB33" s="39"/>
      <c r="AC33" s="39">
        <f>450+1500+600+1500</f>
        <v>4050</v>
      </c>
      <c r="AD33" s="39">
        <f>600+1800+300*30+3000+3000+6000+3000</f>
        <v>26400</v>
      </c>
      <c r="AE33" s="39">
        <f>300+1200+3000+300</f>
        <v>4800</v>
      </c>
      <c r="AF33" s="39">
        <f>50*30+3000+1500+3000+9000</f>
        <v>18000</v>
      </c>
      <c r="AG33" s="39"/>
      <c r="AH33" s="39"/>
      <c r="AI33" s="39"/>
      <c r="AJ33" s="39"/>
      <c r="AK33" s="39"/>
      <c r="AL33" s="39"/>
      <c r="AM33" s="39">
        <f t="shared" si="5"/>
        <v>0</v>
      </c>
      <c r="AN33" s="39">
        <f t="shared" si="6"/>
        <v>0</v>
      </c>
      <c r="AP33" s="40" t="str">
        <f t="shared" si="4"/>
        <v/>
      </c>
    </row>
    <row r="34" s="2" customFormat="1" spans="1:42">
      <c r="A34" s="45">
        <v>20380</v>
      </c>
      <c r="B34" s="46" t="s">
        <v>59</v>
      </c>
      <c r="C34" s="45" t="s">
        <v>66</v>
      </c>
      <c r="D34" s="45">
        <v>134220</v>
      </c>
      <c r="E34" s="45" t="s">
        <v>61</v>
      </c>
      <c r="F34" s="47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>
        <f>1600*30+30*400</f>
        <v>60000</v>
      </c>
      <c r="AG34" s="45">
        <f>70*30+1500</f>
        <v>3600</v>
      </c>
      <c r="AH34" s="45">
        <f>1500+2400+1200</f>
        <v>5100</v>
      </c>
      <c r="AI34" s="45"/>
      <c r="AJ34" s="45">
        <f>400*30+150+3000</f>
        <v>15150</v>
      </c>
      <c r="AK34" s="45">
        <f>150*30</f>
        <v>4500</v>
      </c>
      <c r="AL34" s="45"/>
      <c r="AM34" s="45">
        <f t="shared" si="5"/>
        <v>45870</v>
      </c>
      <c r="AN34" s="45">
        <f t="shared" si="6"/>
        <v>1529</v>
      </c>
      <c r="AP34" s="40" t="str">
        <f t="shared" si="4"/>
        <v>发过</v>
      </c>
    </row>
    <row r="35" s="3" customFormat="1" spans="1:42">
      <c r="A35" s="39">
        <v>20380</v>
      </c>
      <c r="B35" s="43" t="s">
        <v>59</v>
      </c>
      <c r="C35" s="39" t="s">
        <v>67</v>
      </c>
      <c r="D35" s="39">
        <v>134250</v>
      </c>
      <c r="E35" s="39" t="s">
        <v>61</v>
      </c>
      <c r="F35" s="44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>
        <f t="shared" si="5"/>
        <v>134250</v>
      </c>
      <c r="AN35" s="39">
        <f t="shared" si="6"/>
        <v>4475</v>
      </c>
      <c r="AP35" s="40" t="str">
        <f t="shared" si="4"/>
        <v/>
      </c>
    </row>
    <row r="36" s="3" customFormat="1" spans="1:42">
      <c r="A36" s="39">
        <v>20380</v>
      </c>
      <c r="B36" s="43" t="s">
        <v>59</v>
      </c>
      <c r="C36" s="39" t="s">
        <v>68</v>
      </c>
      <c r="D36" s="39">
        <v>135390</v>
      </c>
      <c r="E36" s="39" t="s">
        <v>61</v>
      </c>
      <c r="F36" s="44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>
        <f>1256*30</f>
        <v>37680</v>
      </c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>
        <f t="shared" si="5"/>
        <v>97710</v>
      </c>
      <c r="AN36" s="39">
        <f t="shared" si="6"/>
        <v>3257</v>
      </c>
      <c r="AP36" s="40" t="str">
        <f t="shared" si="4"/>
        <v>发过</v>
      </c>
    </row>
    <row r="37" s="3" customFormat="1" spans="1:42">
      <c r="A37" s="39">
        <v>20380</v>
      </c>
      <c r="B37" s="43" t="s">
        <v>59</v>
      </c>
      <c r="C37" s="39" t="s">
        <v>69</v>
      </c>
      <c r="D37" s="39">
        <v>135900</v>
      </c>
      <c r="E37" s="39" t="s">
        <v>61</v>
      </c>
      <c r="F37" s="44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>
        <f>135900</f>
        <v>135900</v>
      </c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>
        <f t="shared" si="5"/>
        <v>0</v>
      </c>
      <c r="AN37" s="39">
        <f t="shared" si="6"/>
        <v>0</v>
      </c>
      <c r="AP37" s="40" t="str">
        <f t="shared" si="4"/>
        <v/>
      </c>
    </row>
    <row r="38" s="3" customFormat="1" spans="1:42">
      <c r="A38" s="39">
        <v>20380</v>
      </c>
      <c r="B38" s="43" t="s">
        <v>59</v>
      </c>
      <c r="C38" s="39" t="s">
        <v>70</v>
      </c>
      <c r="D38" s="39">
        <v>135900</v>
      </c>
      <c r="E38" s="39" t="s">
        <v>61</v>
      </c>
      <c r="F38" s="44"/>
      <c r="G38" s="39"/>
      <c r="H38" s="39"/>
      <c r="I38" s="39"/>
      <c r="J38" s="39"/>
      <c r="K38" s="39"/>
      <c r="L38" s="39"/>
      <c r="M38" s="39"/>
      <c r="N38" s="39"/>
      <c r="O38" s="39">
        <v>135900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>
        <f t="shared" si="5"/>
        <v>0</v>
      </c>
      <c r="AN38" s="39">
        <f t="shared" si="6"/>
        <v>0</v>
      </c>
      <c r="AP38" s="40" t="str">
        <f t="shared" si="4"/>
        <v/>
      </c>
    </row>
    <row r="39" s="3" customFormat="1" spans="1:42">
      <c r="A39" s="39">
        <v>20380</v>
      </c>
      <c r="B39" s="43" t="s">
        <v>59</v>
      </c>
      <c r="C39" s="39" t="s">
        <v>71</v>
      </c>
      <c r="D39" s="39">
        <v>166440</v>
      </c>
      <c r="E39" s="39" t="s">
        <v>61</v>
      </c>
      <c r="F39" s="44"/>
      <c r="G39" s="39"/>
      <c r="H39" s="39"/>
      <c r="I39" s="39"/>
      <c r="J39" s="39"/>
      <c r="K39" s="39"/>
      <c r="L39" s="39"/>
      <c r="M39" s="39"/>
      <c r="N39" s="39"/>
      <c r="O39" s="39">
        <v>157440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>
        <v>600</v>
      </c>
      <c r="AF39" s="39"/>
      <c r="AG39" s="39"/>
      <c r="AH39" s="39"/>
      <c r="AI39" s="39"/>
      <c r="AJ39" s="39"/>
      <c r="AK39" s="39"/>
      <c r="AL39" s="39"/>
      <c r="AM39" s="39">
        <f t="shared" si="5"/>
        <v>8400</v>
      </c>
      <c r="AN39" s="39">
        <f t="shared" si="6"/>
        <v>280</v>
      </c>
      <c r="AP39" s="40" t="str">
        <f t="shared" si="4"/>
        <v>发过</v>
      </c>
    </row>
    <row r="40" s="3" customFormat="1" spans="1:42">
      <c r="A40" s="39">
        <v>20380</v>
      </c>
      <c r="B40" s="43" t="s">
        <v>59</v>
      </c>
      <c r="C40" s="39" t="s">
        <v>72</v>
      </c>
      <c r="D40" s="39">
        <v>3120</v>
      </c>
      <c r="E40" s="39" t="s">
        <v>51</v>
      </c>
      <c r="F40" s="44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>
        <f t="shared" si="5"/>
        <v>3120</v>
      </c>
      <c r="AN40" s="39">
        <f t="shared" si="6"/>
        <v>104</v>
      </c>
      <c r="AP40" s="40" t="str">
        <f t="shared" si="4"/>
        <v/>
      </c>
    </row>
    <row r="41" s="3" customFormat="1" spans="1:42">
      <c r="A41" s="48"/>
      <c r="B41" s="39"/>
      <c r="C41" s="39"/>
      <c r="D41" s="39"/>
      <c r="E41" s="39"/>
      <c r="F41" s="44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P41" s="40" t="str">
        <f t="shared" si="4"/>
        <v/>
      </c>
    </row>
    <row r="42" s="3" customFormat="1" spans="1:42">
      <c r="A42" s="48">
        <v>72068</v>
      </c>
      <c r="B42" s="39" t="s">
        <v>73</v>
      </c>
      <c r="C42" s="39" t="s">
        <v>75</v>
      </c>
      <c r="D42" s="39">
        <v>70480</v>
      </c>
      <c r="E42" s="39" t="s">
        <v>61</v>
      </c>
      <c r="F42" s="44"/>
      <c r="G42" s="39"/>
      <c r="H42" s="39"/>
      <c r="I42" s="39">
        <v>4000</v>
      </c>
      <c r="J42" s="39"/>
      <c r="K42" s="39">
        <f>8000+1200</f>
        <v>9200</v>
      </c>
      <c r="L42" s="39">
        <f>3200</f>
        <v>3200</v>
      </c>
      <c r="M42" s="39"/>
      <c r="N42" s="39"/>
      <c r="O42" s="39">
        <f>4000+200</f>
        <v>4200</v>
      </c>
      <c r="P42" s="39"/>
      <c r="Q42" s="39">
        <f>80*40+40*50</f>
        <v>5200</v>
      </c>
      <c r="R42" s="39">
        <f>2000+4000</f>
        <v>6000</v>
      </c>
      <c r="S42" s="39">
        <f>4000+150*40+40*600+800+79*40</f>
        <v>37960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>
        <f>D42-G42-H42-I42-J42-K42-L42-M42-N42-O42-P42-Q42-R42-S42-T42-U42-V42-W42-X42-Y42-Z42-AA42-AB42-AC42-AD42-AE42-AF42-AG42-AH42-AI42-AJ42-AK42-AL42</f>
        <v>720</v>
      </c>
      <c r="AN42" s="39">
        <f>AM42/40</f>
        <v>18</v>
      </c>
      <c r="AO42" s="3" t="s">
        <v>219</v>
      </c>
      <c r="AP42" s="40" t="str">
        <f t="shared" si="4"/>
        <v>发过</v>
      </c>
    </row>
    <row r="43" s="3" customFormat="1" spans="1:42">
      <c r="A43" s="48">
        <v>72068</v>
      </c>
      <c r="B43" s="39" t="s">
        <v>73</v>
      </c>
      <c r="C43" s="39" t="s">
        <v>76</v>
      </c>
      <c r="D43" s="39">
        <v>211840</v>
      </c>
      <c r="E43" s="39" t="s">
        <v>61</v>
      </c>
      <c r="F43" s="44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>
        <f>4000+40*100+21*40</f>
        <v>8840</v>
      </c>
      <c r="T43" s="39">
        <f>4000+2000</f>
        <v>6000</v>
      </c>
      <c r="U43" s="39"/>
      <c r="V43" s="39">
        <f>3200</f>
        <v>3200</v>
      </c>
      <c r="W43" s="39">
        <f>400+4000+40*40</f>
        <v>6000</v>
      </c>
      <c r="X43" s="39">
        <f>8000+4000+110*40</f>
        <v>16400</v>
      </c>
      <c r="Y43" s="39">
        <f>8000+4000+200*40+30*40+1200+2000</f>
        <v>24400</v>
      </c>
      <c r="Z43" s="39">
        <f>4000+200+4000</f>
        <v>8200</v>
      </c>
      <c r="AA43" s="39">
        <f>1600</f>
        <v>1600</v>
      </c>
      <c r="AB43" s="39"/>
      <c r="AC43" s="39">
        <f>16000+800+8000+2000+2000</f>
        <v>28800</v>
      </c>
      <c r="AD43" s="39">
        <f>120*40+4000</f>
        <v>8800</v>
      </c>
      <c r="AE43" s="39">
        <f>8000+400+160*40+1600+1600+8000+800+45*40</f>
        <v>28600</v>
      </c>
      <c r="AF43" s="39">
        <f>150*40+40*50+40*50+40*50+2000+8000</f>
        <v>22000</v>
      </c>
      <c r="AG43" s="39">
        <f>100*40+100*40+4000</f>
        <v>12000</v>
      </c>
      <c r="AH43" s="39">
        <f>2000+4000+800+280+98*40</f>
        <v>11000</v>
      </c>
      <c r="AI43" s="39"/>
      <c r="AJ43" s="39">
        <f>12000+2000+8000</f>
        <v>22000</v>
      </c>
      <c r="AK43" s="39"/>
      <c r="AL43" s="39"/>
      <c r="AM43" s="39">
        <f>D43-G43-H43-I43-J43-K43-L43-M43-N43-O43-P43-Q43-R43-S43-T43-U43-V43-W43-X43-Y43-Z43-AA43-AB43-AC43-AD43-AE43-AF43-AG43-AH43-AI43-AJ43-AK43-AL43</f>
        <v>4000</v>
      </c>
      <c r="AN43" s="39">
        <f>AM43/40</f>
        <v>100</v>
      </c>
      <c r="AP43" s="40" t="str">
        <f t="shared" si="4"/>
        <v>发过</v>
      </c>
    </row>
    <row r="44" s="3" customFormat="1" spans="1:42">
      <c r="A44" s="48">
        <v>72068</v>
      </c>
      <c r="B44" s="39" t="s">
        <v>73</v>
      </c>
      <c r="C44" s="39" t="s">
        <v>77</v>
      </c>
      <c r="D44" s="39">
        <v>211840</v>
      </c>
      <c r="E44" s="39" t="s">
        <v>51</v>
      </c>
      <c r="F44" s="44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>
        <f>2000+2000+102*40</f>
        <v>8080</v>
      </c>
      <c r="AI44" s="39"/>
      <c r="AJ44" s="39">
        <f>4000</f>
        <v>4000</v>
      </c>
      <c r="AK44" s="39">
        <f>300*40</f>
        <v>12000</v>
      </c>
      <c r="AL44" s="39"/>
      <c r="AM44" s="39">
        <f>D44-G44-H44-I44-J44-K44-L44-M44-N44-O44-P44-Q44-R44-S44-T44-U44-V44-W44-X44-Y44-Z44-AA44-AB44-AC44-AD44-AE44-AF44-AG44-AH44-AI44-AJ44-AK44-AL44</f>
        <v>187760</v>
      </c>
      <c r="AN44" s="39">
        <f>AM44/40</f>
        <v>4694</v>
      </c>
      <c r="AP44" s="40" t="str">
        <f t="shared" si="4"/>
        <v>发过</v>
      </c>
    </row>
    <row r="45" s="3" customFormat="1" spans="1:42">
      <c r="A45" s="48">
        <v>72068</v>
      </c>
      <c r="B45" s="39" t="s">
        <v>73</v>
      </c>
      <c r="C45" s="39" t="s">
        <v>78</v>
      </c>
      <c r="D45" s="39">
        <v>211840</v>
      </c>
      <c r="E45" s="39" t="s">
        <v>51</v>
      </c>
      <c r="F45" s="4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>
        <f>D45-G45-H45-I45-J45-K45-L45-M45-N45-O45-P45-Q45-R45-S45-T45-U45-V45-W45-X45-Y45-Z45-AA45-AB45-AC45-AD45-AE45-AF45-AG45-AH45-AI45-AJ45-AK45-AL45</f>
        <v>211840</v>
      </c>
      <c r="AN45" s="39">
        <f>AM45/40</f>
        <v>5296</v>
      </c>
      <c r="AP45" s="40" t="str">
        <f t="shared" si="4"/>
        <v/>
      </c>
    </row>
    <row r="46" s="3" customFormat="1" spans="1:42">
      <c r="A46" s="48">
        <v>72068</v>
      </c>
      <c r="B46" s="39" t="s">
        <v>73</v>
      </c>
      <c r="C46" s="39" t="s">
        <v>79</v>
      </c>
      <c r="D46" s="39">
        <v>105920</v>
      </c>
      <c r="E46" s="39" t="s">
        <v>51</v>
      </c>
      <c r="F46" s="44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>
        <f>D46-G46-H46-I46-J46-K46-L46-M46-N46-O46-P46-Q46-R46-S46-T46-U46-V46-W46-X46-Y46-Z46-AA46-AB46-AC46-AD46-AE46-AF46-AG46-AH46-AI46-AJ46-AK46-AL46</f>
        <v>105920</v>
      </c>
      <c r="AN46" s="39">
        <f>AM46/40</f>
        <v>2648</v>
      </c>
      <c r="AP46" s="40" t="str">
        <f t="shared" si="4"/>
        <v/>
      </c>
    </row>
    <row r="47" s="3" customFormat="1" spans="1:42">
      <c r="A47" s="48"/>
      <c r="B47" s="39"/>
      <c r="C47" s="39"/>
      <c r="D47" s="39"/>
      <c r="E47" s="39"/>
      <c r="F47" s="44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P47" s="40" t="str">
        <f t="shared" si="4"/>
        <v/>
      </c>
    </row>
    <row r="48" s="3" customFormat="1" ht="35.25" spans="1:42">
      <c r="A48" s="48">
        <v>20856</v>
      </c>
      <c r="B48" s="41" t="s">
        <v>80</v>
      </c>
      <c r="C48" s="39" t="s">
        <v>81</v>
      </c>
      <c r="D48" s="39">
        <v>17160</v>
      </c>
      <c r="E48" s="39" t="s">
        <v>82</v>
      </c>
      <c r="F48" s="44"/>
      <c r="G48" s="39"/>
      <c r="H48" s="39"/>
      <c r="I48" s="39"/>
      <c r="J48" s="39"/>
      <c r="K48" s="39"/>
      <c r="L48" s="39"/>
      <c r="M48" s="39"/>
      <c r="N48" s="39"/>
      <c r="O48" s="39"/>
      <c r="P48" s="39">
        <v>1500</v>
      </c>
      <c r="Q48" s="39"/>
      <c r="R48" s="39">
        <f>150+300</f>
        <v>450</v>
      </c>
      <c r="S48" s="39"/>
      <c r="T48" s="39"/>
      <c r="U48" s="39"/>
      <c r="V48" s="39">
        <f>30+90+270</f>
        <v>390</v>
      </c>
      <c r="W48" s="39">
        <v>150</v>
      </c>
      <c r="X48" s="39"/>
      <c r="Y48" s="39">
        <f>150</f>
        <v>150</v>
      </c>
      <c r="Z48" s="39"/>
      <c r="AA48" s="39"/>
      <c r="AB48" s="39"/>
      <c r="AC48" s="39">
        <f>150+900</f>
        <v>1050</v>
      </c>
      <c r="AD48" s="39">
        <f>900+900</f>
        <v>1800</v>
      </c>
      <c r="AE48" s="39">
        <f>75*30+150</f>
        <v>2400</v>
      </c>
      <c r="AF48" s="39"/>
      <c r="AG48" s="39">
        <f>1500</f>
        <v>1500</v>
      </c>
      <c r="AH48" s="39">
        <f>150+600</f>
        <v>750</v>
      </c>
      <c r="AI48" s="39"/>
      <c r="AJ48" s="39">
        <f>300</f>
        <v>300</v>
      </c>
      <c r="AK48" s="39"/>
      <c r="AL48" s="39"/>
      <c r="AM48" s="39">
        <f t="shared" ref="AM48:AM51" si="7">D48-G48-H48-I48-J48-K48-L48-M48-N48-O48-P48-Q48-R48-S48-T48-U48-V48-W48-X48-Y48-Z48-AA48-AB48-AC48-AD48-AE48-AF48-AG48-AH48-AI48-AJ48-AK48-AL48</f>
        <v>6720</v>
      </c>
      <c r="AN48" s="39">
        <f t="shared" ref="AN48:AN51" si="8">AM48/30</f>
        <v>224</v>
      </c>
      <c r="AP48" s="40" t="str">
        <f t="shared" si="4"/>
        <v>发过</v>
      </c>
    </row>
    <row r="49" s="3" customFormat="1" ht="35.25" spans="1:42">
      <c r="A49" s="48">
        <v>20856</v>
      </c>
      <c r="B49" s="41" t="s">
        <v>80</v>
      </c>
      <c r="C49" s="39" t="s">
        <v>141</v>
      </c>
      <c r="D49" s="39">
        <v>60000</v>
      </c>
      <c r="E49" s="39" t="s">
        <v>142</v>
      </c>
      <c r="F49" s="44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>
        <f t="shared" si="7"/>
        <v>60000</v>
      </c>
      <c r="AN49" s="39">
        <f t="shared" si="8"/>
        <v>2000</v>
      </c>
      <c r="AP49" s="40" t="str">
        <f t="shared" si="4"/>
        <v/>
      </c>
    </row>
    <row r="50" s="3" customFormat="1" spans="1:42">
      <c r="A50" s="48"/>
      <c r="B50" s="39"/>
      <c r="C50" s="39"/>
      <c r="D50" s="39"/>
      <c r="E50" s="39"/>
      <c r="F50" s="44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P50" s="40" t="str">
        <f t="shared" si="4"/>
        <v/>
      </c>
    </row>
    <row r="51" s="3" customFormat="1" spans="1:42">
      <c r="A51" s="48">
        <v>19723</v>
      </c>
      <c r="B51" s="39" t="s">
        <v>83</v>
      </c>
      <c r="C51" s="39" t="s">
        <v>84</v>
      </c>
      <c r="D51" s="39">
        <v>47010</v>
      </c>
      <c r="E51" s="39" t="s">
        <v>85</v>
      </c>
      <c r="F51" s="44"/>
      <c r="G51" s="39"/>
      <c r="H51" s="39"/>
      <c r="I51" s="39"/>
      <c r="J51" s="39"/>
      <c r="K51" s="39">
        <f>205*30</f>
        <v>6150</v>
      </c>
      <c r="L51" s="39"/>
      <c r="M51" s="39"/>
      <c r="N51" s="39"/>
      <c r="O51" s="39">
        <f>150</f>
        <v>150</v>
      </c>
      <c r="P51" s="39">
        <v>900</v>
      </c>
      <c r="Q51" s="39"/>
      <c r="R51" s="39"/>
      <c r="S51" s="39"/>
      <c r="T51" s="39"/>
      <c r="U51" s="39"/>
      <c r="V51" s="39"/>
      <c r="W51" s="39">
        <v>150</v>
      </c>
      <c r="X51" s="39">
        <f>300</f>
        <v>300</v>
      </c>
      <c r="Y51" s="39"/>
      <c r="Z51" s="39">
        <f>150</f>
        <v>150</v>
      </c>
      <c r="AA51" s="39"/>
      <c r="AB51" s="39"/>
      <c r="AC51" s="39"/>
      <c r="AD51" s="39"/>
      <c r="AE51" s="39"/>
      <c r="AF51" s="39"/>
      <c r="AG51" s="39">
        <f>150+900</f>
        <v>1050</v>
      </c>
      <c r="AH51" s="39"/>
      <c r="AI51" s="39"/>
      <c r="AJ51" s="39">
        <f>900+300</f>
        <v>1200</v>
      </c>
      <c r="AK51" s="39"/>
      <c r="AL51" s="39"/>
      <c r="AM51" s="39">
        <f t="shared" si="7"/>
        <v>36960</v>
      </c>
      <c r="AN51" s="39">
        <f t="shared" si="8"/>
        <v>1232</v>
      </c>
      <c r="AP51" s="40" t="str">
        <f t="shared" si="4"/>
        <v>发过</v>
      </c>
    </row>
    <row r="52" s="3" customFormat="1" spans="1:42">
      <c r="A52" s="48"/>
      <c r="B52" s="39"/>
      <c r="C52" s="39"/>
      <c r="D52" s="39"/>
      <c r="E52" s="39"/>
      <c r="F52" s="44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P52" s="40" t="str">
        <f t="shared" si="4"/>
        <v/>
      </c>
    </row>
    <row r="53" s="3" customFormat="1" spans="1:42">
      <c r="A53" s="48">
        <v>20854</v>
      </c>
      <c r="B53" s="39" t="s">
        <v>86</v>
      </c>
      <c r="C53" s="39" t="s">
        <v>87</v>
      </c>
      <c r="D53" s="39">
        <v>77460</v>
      </c>
      <c r="E53" s="39" t="s">
        <v>85</v>
      </c>
      <c r="F53" s="44"/>
      <c r="G53" s="39"/>
      <c r="H53" s="39"/>
      <c r="I53" s="39">
        <f>3000+1500</f>
        <v>4500</v>
      </c>
      <c r="J53" s="39"/>
      <c r="K53" s="39">
        <f>750</f>
        <v>750</v>
      </c>
      <c r="L53" s="39">
        <f>1500+1500</f>
        <v>3000</v>
      </c>
      <c r="M53" s="39"/>
      <c r="N53" s="39"/>
      <c r="O53" s="39">
        <f>90</f>
        <v>90</v>
      </c>
      <c r="P53" s="39">
        <f>120*30</f>
        <v>3600</v>
      </c>
      <c r="Q53" s="39">
        <f>300</f>
        <v>300</v>
      </c>
      <c r="R53" s="39">
        <f>900+80*30</f>
        <v>3300</v>
      </c>
      <c r="S53" s="39">
        <f>190*30+1500+1500+6000+300+6000</f>
        <v>21000</v>
      </c>
      <c r="T53" s="39">
        <f>1500</f>
        <v>1500</v>
      </c>
      <c r="U53" s="39"/>
      <c r="V53" s="39">
        <f>900+150</f>
        <v>1050</v>
      </c>
      <c r="W53" s="39">
        <f>150+1500</f>
        <v>1650</v>
      </c>
      <c r="X53" s="39">
        <f>4500+70*30+1500+60*30</f>
        <v>9900</v>
      </c>
      <c r="Y53" s="39">
        <f>1500+200*30+150+25*30+1500</f>
        <v>9900</v>
      </c>
      <c r="Z53" s="39">
        <f>464*30+3000</f>
        <v>16920</v>
      </c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>
        <f t="shared" ref="AM53:AM58" si="9">D53-G53-H53-I53-J53-K53-L53-M53-N53-O53-P53-Q53-R53-S53-T53-U53-V53-W53-X53-Y53-Z53-AA53-AB53-AC53-AD53-AE53-AF53-AG53-AH53-AI53-AJ53-AK53-AL53</f>
        <v>0</v>
      </c>
      <c r="AN53" s="39">
        <f t="shared" ref="AN53:AN58" si="10">AM53/30</f>
        <v>0</v>
      </c>
      <c r="AP53" s="40" t="str">
        <f t="shared" si="4"/>
        <v/>
      </c>
    </row>
    <row r="54" s="3" customFormat="1" spans="1:42">
      <c r="A54" s="48">
        <v>20854</v>
      </c>
      <c r="B54" s="39" t="s">
        <v>86</v>
      </c>
      <c r="C54" s="39" t="s">
        <v>92</v>
      </c>
      <c r="D54" s="39">
        <v>211650</v>
      </c>
      <c r="E54" s="39" t="s">
        <v>93</v>
      </c>
      <c r="F54" s="44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>
        <f>236*30+3000+6000</f>
        <v>16080</v>
      </c>
      <c r="AA54" s="39">
        <f>30*400+900+900</f>
        <v>13800</v>
      </c>
      <c r="AB54" s="39"/>
      <c r="AC54" s="39">
        <f>450+1500+450+1500+1500</f>
        <v>5400</v>
      </c>
      <c r="AD54" s="39">
        <f>600+900+300*30+3000+6000+3000</f>
        <v>22500</v>
      </c>
      <c r="AE54" s="39">
        <f>300+3600+3000+300</f>
        <v>7200</v>
      </c>
      <c r="AF54" s="39">
        <f>50*30+4500+6000+1300*30</f>
        <v>51000</v>
      </c>
      <c r="AG54" s="39">
        <f>265*30+70*30+150*30</f>
        <v>14550</v>
      </c>
      <c r="AH54" s="39">
        <f>600+1500+3000+1200+6000</f>
        <v>12300</v>
      </c>
      <c r="AI54" s="39"/>
      <c r="AJ54" s="39">
        <f>650*30+150+3000+6000</f>
        <v>28650</v>
      </c>
      <c r="AK54" s="39">
        <f>100*30</f>
        <v>3000</v>
      </c>
      <c r="AL54" s="39"/>
      <c r="AM54" s="39">
        <f t="shared" si="9"/>
        <v>37170</v>
      </c>
      <c r="AN54" s="39">
        <f t="shared" si="10"/>
        <v>1239</v>
      </c>
      <c r="AP54" s="40" t="str">
        <f t="shared" ref="AP54:AP97" si="11">IF(AM54=0,"",IF(AM54&lt;&gt;D54,"发过",""))</f>
        <v>发过</v>
      </c>
    </row>
    <row r="55" s="3" customFormat="1" spans="1:42">
      <c r="A55" s="48">
        <v>20854</v>
      </c>
      <c r="B55" s="39" t="s">
        <v>86</v>
      </c>
      <c r="C55" s="39" t="s">
        <v>94</v>
      </c>
      <c r="D55" s="39">
        <v>195450</v>
      </c>
      <c r="E55" s="39" t="s">
        <v>93</v>
      </c>
      <c r="F55" s="44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>
        <f>70020</f>
        <v>70020</v>
      </c>
      <c r="AG55" s="39"/>
      <c r="AH55" s="39"/>
      <c r="AI55" s="39"/>
      <c r="AJ55" s="39"/>
      <c r="AK55" s="39"/>
      <c r="AL55" s="39"/>
      <c r="AM55" s="39">
        <f t="shared" si="9"/>
        <v>125430</v>
      </c>
      <c r="AN55" s="39">
        <f t="shared" si="10"/>
        <v>4181</v>
      </c>
      <c r="AP55" s="40" t="str">
        <f t="shared" si="11"/>
        <v>发过</v>
      </c>
    </row>
    <row r="56" s="3" customFormat="1" spans="1:42">
      <c r="A56" s="48">
        <v>20854</v>
      </c>
      <c r="B56" s="39" t="s">
        <v>86</v>
      </c>
      <c r="C56" s="39" t="s">
        <v>143</v>
      </c>
      <c r="D56" s="39">
        <v>41340</v>
      </c>
      <c r="E56" s="39" t="s">
        <v>144</v>
      </c>
      <c r="F56" s="44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>
        <f t="shared" si="9"/>
        <v>41340</v>
      </c>
      <c r="AN56" s="39">
        <f t="shared" si="10"/>
        <v>1378</v>
      </c>
      <c r="AP56" s="40" t="str">
        <f t="shared" si="11"/>
        <v/>
      </c>
    </row>
    <row r="57" s="3" customFormat="1" spans="1:42">
      <c r="A57" s="48">
        <v>20854</v>
      </c>
      <c r="B57" s="39" t="s">
        <v>86</v>
      </c>
      <c r="C57" s="39" t="s">
        <v>145</v>
      </c>
      <c r="D57" s="39">
        <v>100110</v>
      </c>
      <c r="E57" s="39" t="s">
        <v>146</v>
      </c>
      <c r="F57" s="44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>
        <f t="shared" si="9"/>
        <v>100110</v>
      </c>
      <c r="AN57" s="39">
        <f t="shared" si="10"/>
        <v>3337</v>
      </c>
      <c r="AP57" s="40" t="str">
        <f t="shared" si="11"/>
        <v/>
      </c>
    </row>
    <row r="58" s="3" customFormat="1" spans="1:42">
      <c r="A58" s="48">
        <v>20854</v>
      </c>
      <c r="B58" s="39" t="s">
        <v>86</v>
      </c>
      <c r="C58" s="39" t="s">
        <v>147</v>
      </c>
      <c r="D58" s="39">
        <v>132270</v>
      </c>
      <c r="E58" s="39" t="s">
        <v>148</v>
      </c>
      <c r="F58" s="44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>
        <f t="shared" si="9"/>
        <v>132270</v>
      </c>
      <c r="AN58" s="39">
        <f t="shared" si="10"/>
        <v>4409</v>
      </c>
      <c r="AP58" s="40" t="str">
        <f t="shared" si="11"/>
        <v/>
      </c>
    </row>
    <row r="59" s="3" customFormat="1" spans="1:42">
      <c r="A59" s="48"/>
      <c r="B59" s="39"/>
      <c r="C59" s="39"/>
      <c r="D59" s="39"/>
      <c r="E59" s="39"/>
      <c r="F59" s="44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P59" s="40" t="str">
        <f t="shared" si="11"/>
        <v/>
      </c>
    </row>
    <row r="60" s="3" customFormat="1" spans="1:42">
      <c r="A60" s="48">
        <v>20855</v>
      </c>
      <c r="B60" s="39" t="s">
        <v>95</v>
      </c>
      <c r="C60" s="39" t="s">
        <v>96</v>
      </c>
      <c r="D60" s="39">
        <v>94128</v>
      </c>
      <c r="E60" s="39" t="s">
        <v>85</v>
      </c>
      <c r="F60" s="44"/>
      <c r="G60" s="39"/>
      <c r="H60" s="39"/>
      <c r="I60" s="39">
        <f>240+15*48</f>
        <v>960</v>
      </c>
      <c r="J60" s="39">
        <f>480+960+1440</f>
        <v>2880</v>
      </c>
      <c r="K60" s="39"/>
      <c r="L60" s="39"/>
      <c r="M60" s="39"/>
      <c r="N60" s="39"/>
      <c r="O60" s="39"/>
      <c r="P60" s="39">
        <v>960</v>
      </c>
      <c r="Q60" s="39">
        <f>240</f>
        <v>240</v>
      </c>
      <c r="R60" s="39">
        <f>96</f>
        <v>96</v>
      </c>
      <c r="S60" s="39">
        <f>48*5</f>
        <v>240</v>
      </c>
      <c r="T60" s="39"/>
      <c r="U60" s="39"/>
      <c r="V60" s="39">
        <f>48*3+48+480+48*4</f>
        <v>864</v>
      </c>
      <c r="W60" s="39">
        <f>480+4800+240+480</f>
        <v>6000</v>
      </c>
      <c r="X60" s="39">
        <v>960</v>
      </c>
      <c r="Y60" s="39">
        <f>48*30</f>
        <v>1440</v>
      </c>
      <c r="Z60" s="39">
        <f>4800+48*30+480</f>
        <v>6720</v>
      </c>
      <c r="AA60" s="39">
        <f>48*20</f>
        <v>960</v>
      </c>
      <c r="AB60" s="39"/>
      <c r="AC60" s="39">
        <f>240+48*15</f>
        <v>960</v>
      </c>
      <c r="AD60" s="39">
        <f>240+240+480+4*48</f>
        <v>1152</v>
      </c>
      <c r="AE60" s="39">
        <f>480+45*48+60*48+480</f>
        <v>6000</v>
      </c>
      <c r="AF60" s="39">
        <f>480+48*200</f>
        <v>10080</v>
      </c>
      <c r="AG60" s="39">
        <f>15*48+50*48+48*50+48*30+48*5</f>
        <v>7200</v>
      </c>
      <c r="AH60" s="39">
        <f>240+480+480+480</f>
        <v>1680</v>
      </c>
      <c r="AI60" s="39"/>
      <c r="AJ60" s="39">
        <f>48*30+150*48+48*20</f>
        <v>9600</v>
      </c>
      <c r="AK60" s="39">
        <f>10*48</f>
        <v>480</v>
      </c>
      <c r="AL60" s="39"/>
      <c r="AM60" s="39">
        <f t="shared" ref="AM60:AM68" si="12">D60-G60-H60-I60-J60-K60-L60-M60-N60-O60-P60-Q60-R60-S60-T60-U60-V60-W60-X60-Y60-Z60-AA60-AB60-AC60-AD60-AE60-AF60-AG60-AH60-AI60-AJ60-AK60-AL60</f>
        <v>34656</v>
      </c>
      <c r="AN60" s="39">
        <f>AM60/48</f>
        <v>722</v>
      </c>
      <c r="AP60" s="40" t="str">
        <f t="shared" si="11"/>
        <v>发过</v>
      </c>
    </row>
    <row r="61" s="3" customFormat="1" spans="1:42">
      <c r="A61" s="48"/>
      <c r="B61" s="39"/>
      <c r="C61" s="39"/>
      <c r="D61" s="39"/>
      <c r="E61" s="39"/>
      <c r="F61" s="44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P61" s="40" t="str">
        <f t="shared" si="11"/>
        <v/>
      </c>
    </row>
    <row r="62" s="3" customFormat="1" spans="1:42">
      <c r="A62" s="48">
        <v>20850</v>
      </c>
      <c r="B62" s="39" t="s">
        <v>97</v>
      </c>
      <c r="C62" s="39" t="s">
        <v>98</v>
      </c>
      <c r="D62" s="39">
        <v>48960</v>
      </c>
      <c r="E62" s="39" t="s">
        <v>89</v>
      </c>
      <c r="F62" s="44"/>
      <c r="G62" s="39"/>
      <c r="H62" s="39"/>
      <c r="I62" s="39"/>
      <c r="J62" s="39"/>
      <c r="K62" s="39"/>
      <c r="L62" s="39"/>
      <c r="M62" s="39"/>
      <c r="N62" s="39"/>
      <c r="O62" s="39"/>
      <c r="P62" s="39">
        <v>1500</v>
      </c>
      <c r="Q62" s="39"/>
      <c r="R62" s="39">
        <f>150</f>
        <v>150</v>
      </c>
      <c r="S62" s="39">
        <v>150</v>
      </c>
      <c r="T62" s="39"/>
      <c r="U62" s="39"/>
      <c r="V62" s="39">
        <f>150+30+20*30+1500+120</f>
        <v>2400</v>
      </c>
      <c r="W62" s="39"/>
      <c r="X62" s="39"/>
      <c r="Y62" s="39">
        <f>300</f>
        <v>300</v>
      </c>
      <c r="Z62" s="39">
        <f>150</f>
        <v>150</v>
      </c>
      <c r="AA62" s="39">
        <f>600+600+600</f>
        <v>1800</v>
      </c>
      <c r="AB62" s="39"/>
      <c r="AC62" s="39">
        <f>300+900+1500</f>
        <v>2700</v>
      </c>
      <c r="AD62" s="39">
        <f>300+1200</f>
        <v>1500</v>
      </c>
      <c r="AE62" s="39">
        <f>45*30+2400+900</f>
        <v>4650</v>
      </c>
      <c r="AF62" s="39">
        <f>1500</f>
        <v>1500</v>
      </c>
      <c r="AG62" s="39">
        <f>300+900+60*30+300+300</f>
        <v>3600</v>
      </c>
      <c r="AH62" s="39">
        <f>600+600+1200</f>
        <v>2400</v>
      </c>
      <c r="AI62" s="39"/>
      <c r="AJ62" s="39">
        <f>1200+600+1500</f>
        <v>3300</v>
      </c>
      <c r="AK62" s="39">
        <f>70*30</f>
        <v>2100</v>
      </c>
      <c r="AL62" s="39"/>
      <c r="AM62" s="39">
        <f t="shared" si="12"/>
        <v>20760</v>
      </c>
      <c r="AN62" s="39">
        <f t="shared" ref="AN62:AN68" si="13">AM62/30</f>
        <v>692</v>
      </c>
      <c r="AP62" s="40" t="str">
        <f t="shared" si="11"/>
        <v>发过</v>
      </c>
    </row>
    <row r="63" s="3" customFormat="1" spans="1:42">
      <c r="A63" s="48"/>
      <c r="B63" s="39"/>
      <c r="C63" s="39"/>
      <c r="D63" s="39"/>
      <c r="E63" s="39"/>
      <c r="F63" s="44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P63" s="40" t="str">
        <f t="shared" si="11"/>
        <v/>
      </c>
    </row>
    <row r="64" s="3" customFormat="1" spans="1:42">
      <c r="A64" s="48">
        <v>20148</v>
      </c>
      <c r="B64" s="39" t="s">
        <v>99</v>
      </c>
      <c r="C64" s="39" t="s">
        <v>100</v>
      </c>
      <c r="D64" s="39">
        <v>44400</v>
      </c>
      <c r="E64" s="39" t="s">
        <v>101</v>
      </c>
      <c r="F64" s="44"/>
      <c r="G64" s="39"/>
      <c r="H64" s="39"/>
      <c r="I64" s="39"/>
      <c r="J64" s="39">
        <v>210</v>
      </c>
      <c r="K64" s="39">
        <f>450</f>
        <v>450</v>
      </c>
      <c r="L64" s="39">
        <f>1500</f>
        <v>1500</v>
      </c>
      <c r="M64" s="39"/>
      <c r="N64" s="39"/>
      <c r="O64" s="39">
        <f>3000+30</f>
        <v>3030</v>
      </c>
      <c r="P64" s="39">
        <f>1500+550*30+12*30</f>
        <v>18360</v>
      </c>
      <c r="Q64" s="39">
        <f>900</f>
        <v>900</v>
      </c>
      <c r="R64" s="39">
        <f>900</f>
        <v>900</v>
      </c>
      <c r="S64" s="39">
        <f>70*30+1500+4500+300</f>
        <v>8400</v>
      </c>
      <c r="T64" s="39">
        <f>1500</f>
        <v>1500</v>
      </c>
      <c r="U64" s="39"/>
      <c r="V64" s="39">
        <f>900+3000</f>
        <v>3900</v>
      </c>
      <c r="W64" s="39">
        <f>3000+600</f>
        <v>3600</v>
      </c>
      <c r="X64" s="39"/>
      <c r="Y64" s="39">
        <v>1650</v>
      </c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>
        <f t="shared" si="12"/>
        <v>0</v>
      </c>
      <c r="AN64" s="39">
        <f t="shared" si="13"/>
        <v>0</v>
      </c>
      <c r="AP64" s="40" t="str">
        <f t="shared" si="11"/>
        <v/>
      </c>
    </row>
    <row r="65" s="3" customFormat="1" spans="1:42">
      <c r="A65" s="48">
        <v>20148</v>
      </c>
      <c r="B65" s="39" t="s">
        <v>99</v>
      </c>
      <c r="C65" s="39" t="s">
        <v>149</v>
      </c>
      <c r="D65" s="39">
        <f>4246*30</f>
        <v>127380</v>
      </c>
      <c r="E65" s="39" t="s">
        <v>135</v>
      </c>
      <c r="F65" s="44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>
        <f>1500</f>
        <v>1500</v>
      </c>
      <c r="X65" s="39">
        <f>900+300</f>
        <v>1200</v>
      </c>
      <c r="Y65" s="39">
        <f>1500+85*30+6000+1500</f>
        <v>11550</v>
      </c>
      <c r="Z65" s="39">
        <f>150*30+3000+300</f>
        <v>7800</v>
      </c>
      <c r="AA65" s="39">
        <f>3000+1500</f>
        <v>4500</v>
      </c>
      <c r="AB65" s="39"/>
      <c r="AC65" s="39">
        <f>60+600</f>
        <v>660</v>
      </c>
      <c r="AD65" s="39">
        <f>600+3000+3000+1500+210+3000</f>
        <v>11310</v>
      </c>
      <c r="AE65" s="39">
        <f>1500+300+1800+3000+300</f>
        <v>6900</v>
      </c>
      <c r="AF65" s="39">
        <f>50*30+900+1000*30</f>
        <v>32400</v>
      </c>
      <c r="AG65" s="39">
        <f>1500+3000+162*30</f>
        <v>9360</v>
      </c>
      <c r="AH65" s="39">
        <f>600+1500+900</f>
        <v>3000</v>
      </c>
      <c r="AI65" s="39"/>
      <c r="AJ65" s="39">
        <f>300*30+150+3000</f>
        <v>12150</v>
      </c>
      <c r="AK65" s="39">
        <f>100*30</f>
        <v>3000</v>
      </c>
      <c r="AL65" s="39"/>
      <c r="AM65" s="39">
        <f t="shared" si="12"/>
        <v>22050</v>
      </c>
      <c r="AN65" s="39">
        <f t="shared" si="13"/>
        <v>735</v>
      </c>
      <c r="AP65" s="40" t="str">
        <f t="shared" si="11"/>
        <v>发过</v>
      </c>
    </row>
    <row r="66" s="3" customFormat="1" spans="1:42">
      <c r="A66" s="48">
        <v>20148</v>
      </c>
      <c r="B66" s="39" t="s">
        <v>99</v>
      </c>
      <c r="C66" s="39" t="s">
        <v>150</v>
      </c>
      <c r="D66" s="39">
        <v>136410</v>
      </c>
      <c r="E66" s="39" t="s">
        <v>151</v>
      </c>
      <c r="F66" s="44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>
        <v>136410</v>
      </c>
      <c r="AG66" s="39"/>
      <c r="AH66" s="39"/>
      <c r="AI66" s="39"/>
      <c r="AJ66" s="39"/>
      <c r="AK66" s="39"/>
      <c r="AL66" s="39"/>
      <c r="AM66" s="39">
        <f t="shared" si="12"/>
        <v>0</v>
      </c>
      <c r="AN66" s="39">
        <f t="shared" si="13"/>
        <v>0</v>
      </c>
      <c r="AP66" s="40" t="str">
        <f t="shared" si="11"/>
        <v/>
      </c>
    </row>
    <row r="67" s="4" customFormat="1" ht="17.65" spans="1:42">
      <c r="A67" s="48">
        <v>20148</v>
      </c>
      <c r="B67" s="39" t="s">
        <v>99</v>
      </c>
      <c r="C67" s="41" t="s">
        <v>152</v>
      </c>
      <c r="D67" s="41">
        <v>107940</v>
      </c>
      <c r="E67" s="41" t="s">
        <v>153</v>
      </c>
      <c r="F67" s="49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39">
        <f t="shared" si="12"/>
        <v>107940</v>
      </c>
      <c r="AN67" s="39">
        <f t="shared" si="13"/>
        <v>3598</v>
      </c>
      <c r="AP67" s="40" t="str">
        <f t="shared" si="11"/>
        <v/>
      </c>
    </row>
    <row r="68" s="4" customFormat="1" ht="17.65" spans="1:42">
      <c r="A68" s="48">
        <v>20148</v>
      </c>
      <c r="B68" s="39" t="s">
        <v>99</v>
      </c>
      <c r="C68" s="41" t="s">
        <v>154</v>
      </c>
      <c r="D68" s="41">
        <v>26430</v>
      </c>
      <c r="E68" s="41" t="s">
        <v>140</v>
      </c>
      <c r="F68" s="49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>
        <v>7290</v>
      </c>
      <c r="AG68" s="41"/>
      <c r="AH68" s="41"/>
      <c r="AI68" s="41"/>
      <c r="AJ68" s="41"/>
      <c r="AK68" s="41"/>
      <c r="AL68" s="41"/>
      <c r="AM68" s="39">
        <f t="shared" si="12"/>
        <v>19140</v>
      </c>
      <c r="AN68" s="39">
        <f t="shared" si="13"/>
        <v>638</v>
      </c>
      <c r="AP68" s="40" t="str">
        <f t="shared" si="11"/>
        <v>发过</v>
      </c>
    </row>
    <row r="69" s="4" customFormat="1" spans="1:42">
      <c r="A69" s="50"/>
      <c r="B69" s="41"/>
      <c r="C69" s="41"/>
      <c r="D69" s="41"/>
      <c r="E69" s="41"/>
      <c r="F69" s="49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39"/>
      <c r="AN69" s="39"/>
      <c r="AP69" s="40" t="str">
        <f t="shared" si="11"/>
        <v/>
      </c>
    </row>
    <row r="70" s="4" customFormat="1" ht="35.25" spans="1:42">
      <c r="A70" s="50">
        <v>20858</v>
      </c>
      <c r="B70" s="41" t="s">
        <v>155</v>
      </c>
      <c r="C70" s="41" t="s">
        <v>156</v>
      </c>
      <c r="D70" s="41">
        <f>700*30</f>
        <v>21000</v>
      </c>
      <c r="E70" s="41" t="s">
        <v>135</v>
      </c>
      <c r="F70" s="49"/>
      <c r="G70" s="41"/>
      <c r="H70" s="41"/>
      <c r="I70" s="41"/>
      <c r="J70" s="41"/>
      <c r="K70" s="41"/>
      <c r="L70" s="41"/>
      <c r="M70" s="41"/>
      <c r="N70" s="41"/>
      <c r="O70" s="41">
        <f>90</f>
        <v>90</v>
      </c>
      <c r="P70" s="41">
        <v>900</v>
      </c>
      <c r="Q70" s="41"/>
      <c r="R70" s="41">
        <f>600</f>
        <v>600</v>
      </c>
      <c r="S70" s="41">
        <f>900</f>
        <v>900</v>
      </c>
      <c r="T70" s="41"/>
      <c r="U70" s="41"/>
      <c r="V70" s="41">
        <f>30+300+120</f>
        <v>450</v>
      </c>
      <c r="W70" s="41">
        <v>150</v>
      </c>
      <c r="X70" s="41"/>
      <c r="Y70" s="41">
        <f>150+150</f>
        <v>300</v>
      </c>
      <c r="Z70" s="41">
        <f>600</f>
        <v>600</v>
      </c>
      <c r="AA70" s="41"/>
      <c r="AB70" s="41"/>
      <c r="AC70" s="41">
        <f>600</f>
        <v>600</v>
      </c>
      <c r="AD70" s="41">
        <f>900</f>
        <v>900</v>
      </c>
      <c r="AE70" s="41"/>
      <c r="AF70" s="41"/>
      <c r="AG70" s="41"/>
      <c r="AH70" s="41"/>
      <c r="AI70" s="41"/>
      <c r="AJ70" s="41">
        <f>600</f>
        <v>600</v>
      </c>
      <c r="AK70" s="41">
        <f>60*30</f>
        <v>1800</v>
      </c>
      <c r="AL70" s="41"/>
      <c r="AM70" s="39">
        <f>D70-G70-H70-I70-J70-K70-L70-M70-N70-O70-P70-Q70-R70-S70-T70-U70-V70-W70-X70-Y70-Z70-AA70-AB70-AC70-AD70-AE70-AF70-AG70-AH70-AI70-AJ70-AK70-AL70</f>
        <v>13110</v>
      </c>
      <c r="AN70" s="39">
        <f>AM70/30</f>
        <v>437</v>
      </c>
      <c r="AP70" s="40" t="str">
        <f t="shared" si="11"/>
        <v>发过</v>
      </c>
    </row>
    <row r="71" s="3" customFormat="1" spans="1:42">
      <c r="A71" s="48"/>
      <c r="B71" s="39"/>
      <c r="C71" s="39"/>
      <c r="D71" s="39"/>
      <c r="E71" s="39"/>
      <c r="F71" s="44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P71" s="40" t="str">
        <f t="shared" si="11"/>
        <v/>
      </c>
    </row>
    <row r="72" s="3" customFormat="1" spans="1:42">
      <c r="A72" s="48">
        <v>20763</v>
      </c>
      <c r="B72" s="39" t="s">
        <v>157</v>
      </c>
      <c r="C72" s="39" t="s">
        <v>158</v>
      </c>
      <c r="D72" s="39">
        <v>11700</v>
      </c>
      <c r="E72" s="39" t="s">
        <v>151</v>
      </c>
      <c r="F72" s="44"/>
      <c r="G72" s="39"/>
      <c r="H72" s="39"/>
      <c r="I72" s="39"/>
      <c r="J72" s="39"/>
      <c r="K72" s="39">
        <f>15*30</f>
        <v>450</v>
      </c>
      <c r="L72" s="39"/>
      <c r="M72" s="39"/>
      <c r="N72" s="39"/>
      <c r="O72" s="39">
        <f>30</f>
        <v>30</v>
      </c>
      <c r="P72" s="39">
        <v>900</v>
      </c>
      <c r="Q72" s="39"/>
      <c r="R72" s="39"/>
      <c r="S72" s="39">
        <f>30*30</f>
        <v>900</v>
      </c>
      <c r="T72" s="39"/>
      <c r="U72" s="39"/>
      <c r="V72" s="39"/>
      <c r="W72" s="39">
        <f>60</f>
        <v>60</v>
      </c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>
        <f>D72-G72-H72-I72-J72-K72-L72-M72-N72-O72-P72-Q72-R72-S72-T72-U72-V72-W72-X72-Y72-Z72-AA72-AB72-AC72-AD72-AE72-AF72-AG72-AH72-AI72-AJ72-AK72-AL72</f>
        <v>9360</v>
      </c>
      <c r="AN72" s="39">
        <f>AM72/30</f>
        <v>312</v>
      </c>
      <c r="AP72" s="40" t="str">
        <f t="shared" si="11"/>
        <v>发过</v>
      </c>
    </row>
    <row r="73" spans="1:42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9"/>
      <c r="AP73" s="40" t="str">
        <f t="shared" si="11"/>
        <v/>
      </c>
    </row>
    <row r="74" spans="1:42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9"/>
      <c r="AP74" s="40" t="str">
        <f t="shared" si="11"/>
        <v/>
      </c>
    </row>
    <row r="75" spans="1:42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9"/>
      <c r="AP75" s="40" t="str">
        <f t="shared" si="11"/>
        <v/>
      </c>
    </row>
    <row r="76" spans="1:42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9"/>
      <c r="AP76" s="40" t="str">
        <f t="shared" si="11"/>
        <v/>
      </c>
    </row>
    <row r="77" spans="1:42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9"/>
      <c r="AP77" s="40" t="str">
        <f t="shared" si="11"/>
        <v/>
      </c>
    </row>
    <row r="78" spans="1:42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9"/>
      <c r="AP78" s="40" t="str">
        <f t="shared" si="11"/>
        <v/>
      </c>
    </row>
    <row r="79" spans="1:42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9"/>
      <c r="AP79" s="40" t="str">
        <f t="shared" si="11"/>
        <v/>
      </c>
    </row>
    <row r="80" spans="1:42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  <c r="AP80" s="40" t="str">
        <f t="shared" si="11"/>
        <v/>
      </c>
    </row>
    <row r="81" spans="1:42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  <c r="AP81" s="40" t="str">
        <f t="shared" si="11"/>
        <v/>
      </c>
    </row>
    <row r="82" spans="1:42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  <c r="AP82" s="40" t="str">
        <f t="shared" si="11"/>
        <v/>
      </c>
    </row>
    <row r="83" spans="1:42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  <c r="AP83" s="40" t="str">
        <f t="shared" si="11"/>
        <v/>
      </c>
    </row>
    <row r="84" spans="1:42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  <c r="AP84" s="40" t="str">
        <f t="shared" si="11"/>
        <v/>
      </c>
    </row>
    <row r="85" spans="1:42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  <c r="AP85" s="40" t="str">
        <f t="shared" si="11"/>
        <v/>
      </c>
    </row>
    <row r="86" spans="1:42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  <c r="AP86" s="40" t="str">
        <f t="shared" si="11"/>
        <v/>
      </c>
    </row>
    <row r="87" spans="1:42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  <c r="AP87" s="40" t="str">
        <f t="shared" si="11"/>
        <v/>
      </c>
    </row>
    <row r="88" spans="1:42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  <c r="AP88" s="40" t="str">
        <f t="shared" si="11"/>
        <v/>
      </c>
    </row>
    <row r="89" spans="1:42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  <c r="AP89" s="40" t="str">
        <f t="shared" si="11"/>
        <v/>
      </c>
    </row>
    <row r="90" spans="1:42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  <c r="AP90" s="40" t="str">
        <f t="shared" si="11"/>
        <v/>
      </c>
    </row>
    <row r="91" spans="1:42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  <c r="AP91" s="40" t="str">
        <f t="shared" si="11"/>
        <v/>
      </c>
    </row>
    <row r="92" spans="1:42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  <c r="AP92" s="40" t="str">
        <f t="shared" si="11"/>
        <v/>
      </c>
    </row>
    <row r="93" spans="1:42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  <c r="AP93" s="40" t="str">
        <f t="shared" si="11"/>
        <v/>
      </c>
    </row>
    <row r="94" spans="1:42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  <c r="AP94" s="40" t="str">
        <f t="shared" si="11"/>
        <v/>
      </c>
    </row>
    <row r="95" spans="1:42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  <c r="AP95" s="40" t="str">
        <f t="shared" si="11"/>
        <v/>
      </c>
    </row>
    <row r="96" spans="1:42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  <c r="AP96" s="40" t="str">
        <f t="shared" si="11"/>
        <v/>
      </c>
    </row>
    <row r="97" spans="1:42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  <c r="AP97" s="40" t="str">
        <f t="shared" si="11"/>
        <v/>
      </c>
    </row>
    <row r="98" spans="1:42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9"/>
      <c r="AP98" s="7"/>
    </row>
    <row r="99" spans="1:42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9"/>
      <c r="AP99" s="7"/>
    </row>
    <row r="100" spans="1:42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9"/>
      <c r="AP100" s="7"/>
    </row>
    <row r="101" spans="1:42">
      <c r="A101" s="51"/>
      <c r="B101" s="38"/>
      <c r="C101" s="38"/>
      <c r="D101" s="38"/>
      <c r="E101" s="38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9"/>
      <c r="AP101" s="7"/>
    </row>
    <row r="102" spans="1:42">
      <c r="A102" s="51"/>
      <c r="B102" s="38"/>
      <c r="C102" s="38"/>
      <c r="D102" s="38"/>
      <c r="E102" s="38"/>
      <c r="F102" s="52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9"/>
      <c r="AP102" s="7"/>
    </row>
    <row r="103" spans="1:42">
      <c r="A103" s="51"/>
      <c r="B103" s="38"/>
      <c r="C103" s="38"/>
      <c r="D103" s="38"/>
      <c r="E103" s="38"/>
      <c r="F103" s="52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9"/>
      <c r="AP103" s="7"/>
    </row>
    <row r="104" spans="1:42">
      <c r="A104" s="51"/>
      <c r="B104" s="38"/>
      <c r="C104" s="38"/>
      <c r="D104" s="38"/>
      <c r="E104" s="38"/>
      <c r="F104" s="52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9"/>
      <c r="AP104" s="7"/>
    </row>
    <row r="105" spans="1:42">
      <c r="A105" s="51"/>
      <c r="B105" s="38"/>
      <c r="C105" s="38"/>
      <c r="D105" s="38"/>
      <c r="E105" s="38"/>
      <c r="F105" s="52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9"/>
      <c r="AP105" s="7"/>
    </row>
    <row r="106" spans="1:42">
      <c r="A106" s="51"/>
      <c r="B106" s="38"/>
      <c r="C106" s="38"/>
      <c r="D106" s="38"/>
      <c r="E106" s="38"/>
      <c r="F106" s="52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9"/>
      <c r="AP106" s="7"/>
    </row>
    <row r="107" spans="1:42">
      <c r="A107" s="51"/>
      <c r="B107" s="38"/>
      <c r="C107" s="38"/>
      <c r="D107" s="38"/>
      <c r="E107" s="38"/>
      <c r="F107" s="52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9"/>
      <c r="AP107" s="7"/>
    </row>
    <row r="108" spans="1:42">
      <c r="A108" s="51"/>
      <c r="B108" s="38"/>
      <c r="C108" s="38"/>
      <c r="D108" s="38"/>
      <c r="E108" s="38"/>
      <c r="F108" s="52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9"/>
      <c r="AP108" s="7"/>
    </row>
    <row r="109" spans="1:42">
      <c r="A109" s="51"/>
      <c r="B109" s="38"/>
      <c r="C109" s="38"/>
      <c r="D109" s="38"/>
      <c r="E109" s="38"/>
      <c r="F109" s="52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9"/>
      <c r="AP109" s="7"/>
    </row>
    <row r="110" spans="1:42">
      <c r="A110" s="51"/>
      <c r="B110" s="38"/>
      <c r="C110" s="38"/>
      <c r="D110" s="38"/>
      <c r="E110" s="38"/>
      <c r="F110" s="52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9"/>
      <c r="AP110" s="7"/>
    </row>
    <row r="111" spans="1:42">
      <c r="A111" s="51"/>
      <c r="B111" s="38"/>
      <c r="C111" s="38"/>
      <c r="D111" s="38"/>
      <c r="E111" s="38"/>
      <c r="F111" s="52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9"/>
      <c r="AP111" s="7"/>
    </row>
    <row r="112" spans="1:42">
      <c r="A112" s="51"/>
      <c r="B112" s="38"/>
      <c r="C112" s="38"/>
      <c r="D112" s="38"/>
      <c r="E112" s="38"/>
      <c r="F112" s="52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9"/>
      <c r="AP112" s="7"/>
    </row>
    <row r="113" spans="1:42">
      <c r="A113" s="51"/>
      <c r="B113" s="38"/>
      <c r="C113" s="38"/>
      <c r="D113" s="38"/>
      <c r="E113" s="38"/>
      <c r="F113" s="52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9"/>
      <c r="AP113" s="7"/>
    </row>
    <row r="114" spans="1:42">
      <c r="A114" s="51"/>
      <c r="B114" s="38"/>
      <c r="C114" s="38"/>
      <c r="D114" s="38"/>
      <c r="E114" s="38"/>
      <c r="F114" s="52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9"/>
      <c r="AP114" s="7"/>
    </row>
    <row r="115" spans="1:42">
      <c r="A115" s="51"/>
      <c r="B115" s="38"/>
      <c r="C115" s="38"/>
      <c r="D115" s="38"/>
      <c r="E115" s="38"/>
      <c r="F115" s="52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9"/>
      <c r="AP115" s="7"/>
    </row>
    <row r="116" spans="1:42">
      <c r="A116" s="51"/>
      <c r="B116" s="52"/>
      <c r="C116" s="52"/>
      <c r="D116" s="52"/>
      <c r="E116" s="52"/>
      <c r="F116" s="52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9"/>
      <c r="AP116" s="7"/>
    </row>
    <row r="117" spans="1:42">
      <c r="AP117" s="7"/>
    </row>
  </sheetData>
  <autoFilter xmlns:etc="http://www.wps.cn/officeDocument/2017/etCustomData" ref="A1:AN116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I107"/>
  <sheetViews>
    <sheetView tabSelected="1" workbookViewId="0">
      <pane ySplit="1" topLeftCell="A2" activePane="bottomLeft" state="frozen"/>
      <selection/>
      <selection pane="bottomLeft" activeCell="AW6" sqref="AW6"/>
    </sheetView>
  </sheetViews>
  <sheetFormatPr defaultColWidth="9" defaultRowHeight="17.6"/>
  <cols>
    <col min="1" max="1" width="9" style="5"/>
    <col min="2" max="2" width="28.7522123893805" style="5" customWidth="1"/>
    <col min="3" max="3" width="10.3716814159292" style="5" customWidth="1"/>
    <col min="4" max="4" width="11.2477876106195" style="5" customWidth="1"/>
    <col min="5" max="5" width="10.7522123893805" style="5" hidden="1" customWidth="1"/>
    <col min="6" max="6" width="15.8761061946903" style="5" customWidth="1"/>
    <col min="7" max="7" width="11.8761061946903" style="6" hidden="1" customWidth="1"/>
    <col min="8" max="9" width="7.87610619469027" style="6" hidden="1" customWidth="1"/>
    <col min="10" max="11" width="6.6283185840708" style="6" hidden="1" customWidth="1"/>
    <col min="12" max="12" width="9.24778761061947" style="6" hidden="1" customWidth="1"/>
    <col min="13" max="13" width="7.87610619469027" style="6" hidden="1" customWidth="1"/>
    <col min="14" max="14" width="8.6283185840708" style="6" hidden="1" customWidth="1"/>
    <col min="15" max="15" width="8.24778761061947" style="6" hidden="1" customWidth="1"/>
    <col min="16" max="16" width="8.50442477876106" style="6" hidden="1" customWidth="1"/>
    <col min="17" max="17" width="8.6283185840708" style="6" hidden="1" customWidth="1"/>
    <col min="18" max="18" width="8.50442477876106" style="6" hidden="1" customWidth="1"/>
    <col min="19" max="30" width="7.12389380530973" style="6" hidden="1" customWidth="1"/>
    <col min="31" max="31" width="8.3716814159292" style="6" hidden="1" customWidth="1"/>
    <col min="32" max="32" width="9" style="6" hidden="1" customWidth="1"/>
    <col min="33" max="33" width="9.6283185840708" style="6" hidden="1" customWidth="1"/>
    <col min="34" max="34" width="7.12389380530973" style="6" customWidth="1"/>
    <col min="35" max="35" width="7.75221238938053" style="6" customWidth="1"/>
    <col min="36" max="36" width="6.6283185840708" style="6" customWidth="1"/>
    <col min="37" max="37" width="7.50442477876106" style="6" hidden="1" customWidth="1"/>
    <col min="38" max="38" width="9" style="6" hidden="1" customWidth="1"/>
    <col min="39" max="39" width="10" style="6" customWidth="1"/>
    <col min="40" max="40" width="11" style="6" customWidth="1"/>
    <col min="41" max="41" width="16.1238938053097" style="7" customWidth="1"/>
    <col min="42" max="42" width="13.5044247787611" style="7" customWidth="1"/>
    <col min="43" max="43" width="11.2477876106195" style="7" customWidth="1"/>
    <col min="44" max="44" width="9" style="8"/>
    <col min="45" max="45" width="10.6283185840708" style="8" customWidth="1"/>
    <col min="46" max="46" width="9" style="5"/>
    <col min="47" max="48" width="9" style="9"/>
    <col min="49" max="61" width="9" style="3"/>
  </cols>
  <sheetData>
    <row r="1" s="1" customFormat="1" ht="27" customHeight="1" spans="1:6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220</v>
      </c>
      <c r="G1" s="11">
        <f>IF(DATE($AU$1,$AV$1,COLUMN(A1))&gt;EOMONTH(DATE($AU$1,$AV$1,1),0),"",DATE($AU$1,$AV$1,COLUMN(A1)))</f>
        <v>46113</v>
      </c>
      <c r="H1" s="11">
        <f t="shared" ref="H1:AK1" si="0">IF(DATE($AU$1,$AV$1,COLUMN(B1))&gt;EOMONTH(DATE($AU$1,$AV$1,1),0),"",DATE($AU$1,$AV$1,COLUMN(B1)))</f>
        <v>46114</v>
      </c>
      <c r="I1" s="11">
        <f t="shared" si="0"/>
        <v>46115</v>
      </c>
      <c r="J1" s="11">
        <f t="shared" si="0"/>
        <v>46116</v>
      </c>
      <c r="K1" s="11">
        <f t="shared" si="0"/>
        <v>46117</v>
      </c>
      <c r="L1" s="11">
        <f t="shared" si="0"/>
        <v>46118</v>
      </c>
      <c r="M1" s="11">
        <f t="shared" si="0"/>
        <v>46119</v>
      </c>
      <c r="N1" s="11">
        <f t="shared" si="0"/>
        <v>46120</v>
      </c>
      <c r="O1" s="11">
        <f t="shared" si="0"/>
        <v>46121</v>
      </c>
      <c r="P1" s="11">
        <f t="shared" si="0"/>
        <v>46122</v>
      </c>
      <c r="Q1" s="11">
        <f t="shared" si="0"/>
        <v>46123</v>
      </c>
      <c r="R1" s="11">
        <f t="shared" si="0"/>
        <v>46124</v>
      </c>
      <c r="S1" s="11">
        <f t="shared" si="0"/>
        <v>46125</v>
      </c>
      <c r="T1" s="11">
        <f t="shared" si="0"/>
        <v>46126</v>
      </c>
      <c r="U1" s="11">
        <f t="shared" si="0"/>
        <v>46127</v>
      </c>
      <c r="V1" s="11">
        <f t="shared" si="0"/>
        <v>46128</v>
      </c>
      <c r="W1" s="11">
        <f t="shared" si="0"/>
        <v>46129</v>
      </c>
      <c r="X1" s="11">
        <f t="shared" si="0"/>
        <v>46130</v>
      </c>
      <c r="Y1" s="11">
        <f t="shared" si="0"/>
        <v>46131</v>
      </c>
      <c r="Z1" s="11">
        <f t="shared" si="0"/>
        <v>46132</v>
      </c>
      <c r="AA1" s="11">
        <f t="shared" si="0"/>
        <v>46133</v>
      </c>
      <c r="AB1" s="11">
        <f t="shared" si="0"/>
        <v>46134</v>
      </c>
      <c r="AC1" s="11">
        <f t="shared" si="0"/>
        <v>46135</v>
      </c>
      <c r="AD1" s="11">
        <f t="shared" si="0"/>
        <v>46136</v>
      </c>
      <c r="AE1" s="11">
        <f t="shared" si="0"/>
        <v>46137</v>
      </c>
      <c r="AF1" s="11">
        <f t="shared" si="0"/>
        <v>46138</v>
      </c>
      <c r="AG1" s="11">
        <f t="shared" si="0"/>
        <v>46139</v>
      </c>
      <c r="AH1" s="11">
        <f t="shared" si="0"/>
        <v>46140</v>
      </c>
      <c r="AI1" s="11">
        <f t="shared" si="0"/>
        <v>46141</v>
      </c>
      <c r="AJ1" s="11">
        <f t="shared" si="0"/>
        <v>46142</v>
      </c>
      <c r="AK1" s="11" t="str">
        <f t="shared" si="0"/>
        <v/>
      </c>
      <c r="AL1" s="11"/>
      <c r="AM1" s="10" t="s">
        <v>39</v>
      </c>
      <c r="AN1" s="12" t="s">
        <v>40</v>
      </c>
      <c r="AO1" s="10" t="s">
        <v>221</v>
      </c>
      <c r="AP1" s="10" t="s">
        <v>222</v>
      </c>
      <c r="AQ1" s="10" t="s">
        <v>190</v>
      </c>
      <c r="AR1" s="13" t="str">
        <f>"库存:"&amp;TEXT(SUM(AM2:AM72),"0")</f>
        <v>库存:3227144</v>
      </c>
      <c r="AS1" s="14"/>
      <c r="AT1" s="6" t="s">
        <v>223</v>
      </c>
      <c r="AU1" s="15">
        <v>2026</v>
      </c>
      <c r="AV1" s="15">
        <v>4</v>
      </c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</row>
    <row r="2" s="2" customFormat="1" spans="1:61">
      <c r="A2" s="17">
        <v>72067</v>
      </c>
      <c r="B2" s="17" t="s">
        <v>41</v>
      </c>
      <c r="C2" s="17" t="s">
        <v>224</v>
      </c>
      <c r="D2" s="17">
        <v>9090</v>
      </c>
      <c r="E2" s="17" t="s">
        <v>51</v>
      </c>
      <c r="F2" s="18" t="s">
        <v>225</v>
      </c>
      <c r="G2" s="17"/>
      <c r="H2" s="17"/>
      <c r="I2" s="17">
        <f>300</f>
        <v>300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>
        <v>3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>
        <f>AN2*30</f>
        <v>0</v>
      </c>
      <c r="AN2" s="19">
        <f>(D2/30)-G2-H2-I2-J2-K2-L2-M2-N2-O2-P2-Q2-R2-S2-T2-U2-V2-W2-X2-Y2-Z2-AA2-AB2-AC2-AD2-AE2-AF2-AG2-AH2-AI2-AJ2-AK2-AL2</f>
        <v>0</v>
      </c>
      <c r="AO2" s="20"/>
      <c r="AP2" s="21"/>
      <c r="AQ2" s="21" t="str">
        <f>IF(AM2&lt;&gt;D2,"发过","")</f>
        <v>发过</v>
      </c>
      <c r="AR2" s="22"/>
      <c r="AS2" s="23"/>
      <c r="AT2" s="9">
        <v>40</v>
      </c>
      <c r="AU2" s="9"/>
      <c r="AV2" s="9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="3" customFormat="1" ht="17.65" spans="1:61">
      <c r="A3" s="17">
        <v>72067</v>
      </c>
      <c r="B3" s="17" t="s">
        <v>41</v>
      </c>
      <c r="C3" s="24" t="s">
        <v>226</v>
      </c>
      <c r="D3" s="17">
        <v>103560</v>
      </c>
      <c r="E3" s="17" t="s">
        <v>138</v>
      </c>
      <c r="F3" s="25" t="s">
        <v>227</v>
      </c>
      <c r="G3" s="17">
        <f>100+100+500</f>
        <v>700</v>
      </c>
      <c r="H3" s="17">
        <f>920+550+350+25+200</f>
        <v>2045</v>
      </c>
      <c r="I3" s="17">
        <f>300+200</f>
        <v>500</v>
      </c>
      <c r="J3" s="17">
        <f>10</f>
        <v>10</v>
      </c>
      <c r="K3" s="17"/>
      <c r="L3" s="17"/>
      <c r="M3" s="17">
        <f>197</f>
        <v>197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>
        <f>AN3*30</f>
        <v>0</v>
      </c>
      <c r="AN3" s="19">
        <f>(D3/30)-G3-H3-I3-J3-K3-L3-M3-N3-O3-P3-Q3-R3-S3-T3-U3-V3-W3-X3-Y3-Z3-AA3-AB3-AC3-AD3-AE3-AF3-AG3-AH3-AI3-AJ3-AK3-AL3</f>
        <v>0</v>
      </c>
      <c r="AO3" s="20"/>
      <c r="AP3" s="21"/>
      <c r="AQ3" s="21" t="str">
        <f>IF(AM3&lt;&gt;D3,"发过","")</f>
        <v>发过</v>
      </c>
      <c r="AR3" s="22"/>
      <c r="AS3" s="23"/>
      <c r="AT3" s="9">
        <v>35</v>
      </c>
      <c r="AU3" s="9"/>
      <c r="AV3" s="9"/>
    </row>
    <row r="4" s="3" customFormat="1" ht="17.65" spans="1:61">
      <c r="A4" s="17">
        <v>72067</v>
      </c>
      <c r="B4" s="17" t="s">
        <v>41</v>
      </c>
      <c r="C4" s="24" t="s">
        <v>228</v>
      </c>
      <c r="D4" s="17">
        <v>78120</v>
      </c>
      <c r="E4" s="17" t="s">
        <v>140</v>
      </c>
      <c r="F4" s="25" t="s">
        <v>229</v>
      </c>
      <c r="G4" s="17"/>
      <c r="H4" s="17"/>
      <c r="I4" s="17"/>
      <c r="J4" s="17"/>
      <c r="K4" s="17"/>
      <c r="L4" s="17"/>
      <c r="M4" s="17">
        <f>803</f>
        <v>803</v>
      </c>
      <c r="N4" s="17">
        <f>200</f>
        <v>200</v>
      </c>
      <c r="O4" s="17">
        <f>300+151+200</f>
        <v>651</v>
      </c>
      <c r="P4" s="17">
        <f>500+200</f>
        <v>700</v>
      </c>
      <c r="Q4" s="17"/>
      <c r="R4" s="17"/>
      <c r="S4" s="17">
        <f>250</f>
        <v>250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>
        <f t="shared" ref="AM4:AM22" si="1">AN4*30</f>
        <v>0</v>
      </c>
      <c r="AN4" s="19">
        <f t="shared" ref="AN4:AN22" si="2">(D4/30)-G4-H4-I4-J4-K4-L4-M4-N4-O4-P4-Q4-R4-S4-T4-U4-V4-W4-X4-Y4-Z4-AA4-AB4-AC4-AD4-AE4-AF4-AG4-AH4-AI4-AJ4-AK4-AL4</f>
        <v>0</v>
      </c>
      <c r="AO4" s="20"/>
      <c r="AP4" s="21"/>
      <c r="AQ4" s="21" t="str">
        <f>IF(AM4&lt;&gt;D4,"发过","")</f>
        <v>发过</v>
      </c>
      <c r="AR4" s="22"/>
      <c r="AS4" s="23"/>
      <c r="AT4" s="9">
        <v>35</v>
      </c>
      <c r="AU4" s="9"/>
      <c r="AV4" s="9"/>
    </row>
    <row r="5" s="3" customFormat="1" ht="17.65" spans="1:61">
      <c r="A5" s="26">
        <v>72067</v>
      </c>
      <c r="B5" s="26" t="s">
        <v>41</v>
      </c>
      <c r="C5" s="27" t="s">
        <v>230</v>
      </c>
      <c r="D5" s="26">
        <v>156240</v>
      </c>
      <c r="E5" s="26" t="s">
        <v>193</v>
      </c>
      <c r="F5" s="28" t="s">
        <v>231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>
        <f>30+15+50</f>
        <v>95</v>
      </c>
      <c r="T5" s="26">
        <f>1500+300</f>
        <v>1800</v>
      </c>
      <c r="U5" s="26"/>
      <c r="V5" s="26">
        <f>60</f>
        <v>60</v>
      </c>
      <c r="W5" s="26">
        <f>200+200</f>
        <v>400</v>
      </c>
      <c r="X5" s="26"/>
      <c r="Y5" s="26"/>
      <c r="Z5" s="26">
        <f>200</f>
        <v>200</v>
      </c>
      <c r="AA5" s="26">
        <f>27+6</f>
        <v>33</v>
      </c>
      <c r="AB5" s="26">
        <f>11+5+500</f>
        <v>516</v>
      </c>
      <c r="AC5" s="26">
        <v>18</v>
      </c>
      <c r="AD5" s="26">
        <f>5</f>
        <v>5</v>
      </c>
      <c r="AE5" s="26">
        <f>223</f>
        <v>223</v>
      </c>
      <c r="AF5" s="26"/>
      <c r="AG5" s="26"/>
      <c r="AH5" s="26"/>
      <c r="AI5" s="26"/>
      <c r="AJ5" s="26"/>
      <c r="AK5" s="26"/>
      <c r="AL5" s="26"/>
      <c r="AM5" s="26">
        <f t="shared" si="1"/>
        <v>55740</v>
      </c>
      <c r="AN5" s="29">
        <f t="shared" si="2"/>
        <v>1858</v>
      </c>
      <c r="AO5" s="21" t="s">
        <v>232</v>
      </c>
      <c r="AP5" s="21" t="str">
        <f>IF(INT(AN5/AT5)=0,MOD(AN5,AT5)&amp;"箱",INT(AN5/AT5)&amp;"板"&amp;IF(MOD(AN5,AT5)&gt;0,"+"&amp;MOD(AN5,AT5)&amp;"箱",""))</f>
        <v>53板+3箱</v>
      </c>
      <c r="AQ5" s="21" t="str">
        <f t="shared" ref="AQ5:AQ26" si="3">IF(AM5&lt;&gt;D5,"发过","")</f>
        <v>发过</v>
      </c>
      <c r="AR5" s="22" t="s">
        <v>233</v>
      </c>
      <c r="AS5" s="23"/>
      <c r="AT5" s="9">
        <v>35</v>
      </c>
      <c r="AU5" s="9"/>
      <c r="AV5" s="9"/>
    </row>
    <row r="6" s="3" customFormat="1" ht="17.65" spans="1:61">
      <c r="A6" s="26">
        <v>72067</v>
      </c>
      <c r="B6" s="26" t="s">
        <v>41</v>
      </c>
      <c r="C6" s="27" t="s">
        <v>234</v>
      </c>
      <c r="D6" s="26">
        <v>104310</v>
      </c>
      <c r="E6" s="26" t="s">
        <v>193</v>
      </c>
      <c r="F6" s="28" t="s">
        <v>235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>
        <f t="shared" si="1"/>
        <v>104310</v>
      </c>
      <c r="AN6" s="29">
        <f t="shared" si="2"/>
        <v>3477</v>
      </c>
      <c r="AO6" s="21"/>
      <c r="AP6" s="21" t="str">
        <f t="shared" ref="AP6:AP21" si="4">IF(INT(AN6/AT6)=0,MOD(AN6,AT6)&amp;"箱",INT(AN6/AT6)&amp;"板"&amp;IF(MOD(AN6,AT6)&gt;0,"+"&amp;MOD(AN6,AT6)&amp;"箱",""))</f>
        <v>99板+12箱</v>
      </c>
      <c r="AQ6" s="21" t="str">
        <f t="shared" si="3"/>
        <v/>
      </c>
      <c r="AR6" s="22" t="s">
        <v>236</v>
      </c>
      <c r="AS6" s="23"/>
      <c r="AT6" s="9">
        <v>35</v>
      </c>
      <c r="AU6" s="9"/>
      <c r="AV6" s="9"/>
    </row>
    <row r="7" s="3" customFormat="1" ht="17.65" spans="1:61">
      <c r="A7" s="26">
        <v>72067</v>
      </c>
      <c r="B7" s="26" t="s">
        <v>41</v>
      </c>
      <c r="C7" s="27" t="s">
        <v>237</v>
      </c>
      <c r="D7" s="26">
        <v>104400</v>
      </c>
      <c r="E7" s="26" t="s">
        <v>197</v>
      </c>
      <c r="F7" s="28" t="s">
        <v>235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>
        <f t="shared" si="1"/>
        <v>104400</v>
      </c>
      <c r="AN7" s="29">
        <f t="shared" si="2"/>
        <v>3480</v>
      </c>
      <c r="AO7" s="21"/>
      <c r="AP7" s="21" t="str">
        <f t="shared" si="4"/>
        <v>87板</v>
      </c>
      <c r="AQ7" s="21" t="str">
        <f t="shared" si="3"/>
        <v/>
      </c>
      <c r="AR7" s="22"/>
      <c r="AS7" s="23"/>
      <c r="AT7" s="9">
        <v>40</v>
      </c>
      <c r="AU7" s="9"/>
      <c r="AV7" s="9"/>
    </row>
    <row r="8" s="3" customFormat="1" ht="17.65" spans="1:61">
      <c r="A8" s="26">
        <v>72067</v>
      </c>
      <c r="B8" s="26" t="s">
        <v>41</v>
      </c>
      <c r="C8" s="27" t="s">
        <v>238</v>
      </c>
      <c r="D8" s="26">
        <v>167760</v>
      </c>
      <c r="E8" s="26" t="s">
        <v>199</v>
      </c>
      <c r="F8" s="28" t="s">
        <v>239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>
        <f t="shared" si="1"/>
        <v>167760</v>
      </c>
      <c r="AN8" s="29">
        <f t="shared" si="2"/>
        <v>5592</v>
      </c>
      <c r="AO8" s="21"/>
      <c r="AP8" s="21" t="str">
        <f t="shared" si="4"/>
        <v>139板+32箱</v>
      </c>
      <c r="AQ8" s="21" t="str">
        <f t="shared" si="3"/>
        <v/>
      </c>
      <c r="AR8" s="22"/>
      <c r="AS8" s="23"/>
      <c r="AT8" s="9">
        <v>40</v>
      </c>
      <c r="AU8" s="9"/>
      <c r="AV8" s="9"/>
    </row>
    <row r="9" s="3" customFormat="1" ht="17.65" spans="1:61">
      <c r="A9" s="26">
        <v>72067</v>
      </c>
      <c r="B9" s="26" t="s">
        <v>41</v>
      </c>
      <c r="C9" s="27" t="s">
        <v>240</v>
      </c>
      <c r="D9" s="26">
        <v>208500</v>
      </c>
      <c r="E9" s="26" t="s">
        <v>201</v>
      </c>
      <c r="F9" s="28" t="s">
        <v>241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>
        <f t="shared" si="1"/>
        <v>208500</v>
      </c>
      <c r="AN9" s="29">
        <f t="shared" si="2"/>
        <v>6950</v>
      </c>
      <c r="AO9" s="21"/>
      <c r="AP9" s="21" t="str">
        <f t="shared" si="4"/>
        <v>173板+30箱</v>
      </c>
      <c r="AQ9" s="21" t="str">
        <f t="shared" si="3"/>
        <v/>
      </c>
      <c r="AR9" s="22"/>
      <c r="AS9" s="23"/>
      <c r="AT9" s="9">
        <v>40</v>
      </c>
      <c r="AU9" s="9"/>
      <c r="AV9" s="9"/>
    </row>
    <row r="10" s="3" customFormat="1" ht="17.65" spans="1:61">
      <c r="A10" s="26">
        <v>72067</v>
      </c>
      <c r="B10" s="26" t="s">
        <v>41</v>
      </c>
      <c r="C10" s="27" t="s">
        <v>242</v>
      </c>
      <c r="D10" s="26">
        <v>208560</v>
      </c>
      <c r="E10" s="26" t="s">
        <v>203</v>
      </c>
      <c r="F10" s="28" t="s">
        <v>243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>
        <f t="shared" si="1"/>
        <v>208560</v>
      </c>
      <c r="AN10" s="29">
        <f t="shared" si="2"/>
        <v>6952</v>
      </c>
      <c r="AO10" s="21"/>
      <c r="AP10" s="21" t="str">
        <f t="shared" si="4"/>
        <v>173板+32箱</v>
      </c>
      <c r="AQ10" s="21" t="str">
        <f t="shared" si="3"/>
        <v/>
      </c>
      <c r="AR10" s="22"/>
      <c r="AS10" s="23"/>
      <c r="AT10" s="9">
        <v>40</v>
      </c>
      <c r="AU10" s="9"/>
      <c r="AV10" s="9"/>
    </row>
    <row r="11" s="3" customFormat="1" ht="17.65" spans="1:61">
      <c r="A11" s="26">
        <v>72067</v>
      </c>
      <c r="B11" s="26" t="s">
        <v>41</v>
      </c>
      <c r="C11" s="27" t="s">
        <v>244</v>
      </c>
      <c r="D11" s="26">
        <v>208530</v>
      </c>
      <c r="E11" s="26" t="s">
        <v>205</v>
      </c>
      <c r="F11" s="28" t="s">
        <v>245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>
        <f t="shared" si="1"/>
        <v>208530</v>
      </c>
      <c r="AN11" s="29">
        <f t="shared" si="2"/>
        <v>6951</v>
      </c>
      <c r="AO11" s="21"/>
      <c r="AP11" s="21" t="str">
        <f t="shared" si="4"/>
        <v>173板+31箱</v>
      </c>
      <c r="AQ11" s="21" t="str">
        <f t="shared" si="3"/>
        <v/>
      </c>
      <c r="AR11" s="22"/>
      <c r="AS11" s="23"/>
      <c r="AT11" s="9">
        <v>40</v>
      </c>
      <c r="AU11" s="9"/>
      <c r="AV11" s="9"/>
    </row>
    <row r="12" s="3" customFormat="1" ht="17.65" spans="1:61">
      <c r="A12" s="26">
        <v>72067</v>
      </c>
      <c r="B12" s="26" t="s">
        <v>41</v>
      </c>
      <c r="C12" s="27" t="s">
        <v>246</v>
      </c>
      <c r="D12" s="26">
        <v>208500</v>
      </c>
      <c r="E12" s="26" t="s">
        <v>205</v>
      </c>
      <c r="F12" s="28" t="s">
        <v>247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>
        <f t="shared" si="1"/>
        <v>208500</v>
      </c>
      <c r="AN12" s="29">
        <f t="shared" si="2"/>
        <v>6950</v>
      </c>
      <c r="AO12" s="21"/>
      <c r="AP12" s="21" t="str">
        <f t="shared" si="4"/>
        <v>173板+30箱</v>
      </c>
      <c r="AQ12" s="21" t="str">
        <f t="shared" si="3"/>
        <v/>
      </c>
      <c r="AR12" s="22"/>
      <c r="AS12" s="23"/>
      <c r="AT12" s="9">
        <v>40</v>
      </c>
      <c r="AU12" s="9"/>
      <c r="AV12" s="9"/>
    </row>
    <row r="13" s="3" customFormat="1" ht="17.65" spans="1:61">
      <c r="A13" s="26">
        <v>72067</v>
      </c>
      <c r="B13" s="26" t="s">
        <v>41</v>
      </c>
      <c r="C13" s="27" t="s">
        <v>248</v>
      </c>
      <c r="D13" s="26">
        <v>180900</v>
      </c>
      <c r="E13" s="26" t="s">
        <v>208</v>
      </c>
      <c r="F13" s="28" t="s">
        <v>249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>
        <f t="shared" si="1"/>
        <v>180900</v>
      </c>
      <c r="AN13" s="29">
        <f t="shared" si="2"/>
        <v>6030</v>
      </c>
      <c r="AO13" s="21"/>
      <c r="AP13" s="21" t="str">
        <f t="shared" si="4"/>
        <v>150板+30箱</v>
      </c>
      <c r="AQ13" s="21" t="str">
        <f t="shared" si="3"/>
        <v/>
      </c>
      <c r="AR13" s="22"/>
      <c r="AS13" s="23"/>
      <c r="AT13" s="9">
        <v>40</v>
      </c>
      <c r="AU13" s="9"/>
      <c r="AV13" s="9"/>
    </row>
    <row r="14" s="3" customFormat="1" ht="17.65" spans="1:61">
      <c r="A14" s="26">
        <v>72067</v>
      </c>
      <c r="B14" s="26" t="s">
        <v>41</v>
      </c>
      <c r="C14" s="27" t="s">
        <v>250</v>
      </c>
      <c r="D14" s="26">
        <v>208500</v>
      </c>
      <c r="E14" s="26" t="s">
        <v>210</v>
      </c>
      <c r="F14" s="28" t="s">
        <v>251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>
        <f t="shared" si="1"/>
        <v>208500</v>
      </c>
      <c r="AN14" s="29">
        <f t="shared" si="2"/>
        <v>6950</v>
      </c>
      <c r="AO14" s="21"/>
      <c r="AP14" s="21" t="str">
        <f t="shared" si="4"/>
        <v>173板+30箱</v>
      </c>
      <c r="AQ14" s="21" t="str">
        <f t="shared" si="3"/>
        <v/>
      </c>
      <c r="AR14" s="22"/>
      <c r="AS14" s="23"/>
      <c r="AT14" s="9">
        <v>40</v>
      </c>
      <c r="AU14" s="9"/>
      <c r="AV14" s="9"/>
    </row>
    <row r="15" s="3" customFormat="1" ht="17.65" spans="1:61">
      <c r="A15" s="26">
        <v>72067</v>
      </c>
      <c r="B15" s="26" t="s">
        <v>41</v>
      </c>
      <c r="C15" s="27" t="s">
        <v>252</v>
      </c>
      <c r="D15" s="26">
        <v>208500</v>
      </c>
      <c r="E15" s="26" t="s">
        <v>212</v>
      </c>
      <c r="F15" s="28" t="s">
        <v>253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>
        <f t="shared" si="1"/>
        <v>208500</v>
      </c>
      <c r="AN15" s="29">
        <f t="shared" si="2"/>
        <v>6950</v>
      </c>
      <c r="AO15" s="21"/>
      <c r="AP15" s="21" t="str">
        <f t="shared" si="4"/>
        <v>173板+30箱</v>
      </c>
      <c r="AQ15" s="21" t="str">
        <f t="shared" si="3"/>
        <v/>
      </c>
      <c r="AR15" s="22"/>
      <c r="AS15" s="23"/>
      <c r="AT15" s="9">
        <v>40</v>
      </c>
      <c r="AU15" s="9"/>
      <c r="AV15" s="9"/>
    </row>
    <row r="16" s="3" customFormat="1" ht="17.65" spans="1:61">
      <c r="A16" s="26">
        <v>72067</v>
      </c>
      <c r="B16" s="26" t="s">
        <v>41</v>
      </c>
      <c r="C16" s="27" t="s">
        <v>254</v>
      </c>
      <c r="D16" s="26">
        <v>209100</v>
      </c>
      <c r="E16" s="26" t="s">
        <v>214</v>
      </c>
      <c r="F16" s="28" t="s">
        <v>255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>
        <f t="shared" si="1"/>
        <v>209100</v>
      </c>
      <c r="AN16" s="29">
        <f t="shared" si="2"/>
        <v>6970</v>
      </c>
      <c r="AO16" s="21" t="s">
        <v>256</v>
      </c>
      <c r="AP16" s="21" t="str">
        <f t="shared" si="4"/>
        <v>174板+10箱</v>
      </c>
      <c r="AQ16" s="21" t="str">
        <f t="shared" si="3"/>
        <v/>
      </c>
      <c r="AR16" s="22"/>
      <c r="AS16" s="23"/>
      <c r="AT16" s="9">
        <v>40</v>
      </c>
      <c r="AU16" s="9"/>
      <c r="AV16" s="9"/>
    </row>
    <row r="17" s="3" customFormat="1" ht="17.65" spans="1:61">
      <c r="A17" s="26">
        <v>72067</v>
      </c>
      <c r="B17" s="26" t="s">
        <v>41</v>
      </c>
      <c r="C17" s="27" t="s">
        <v>257</v>
      </c>
      <c r="D17" s="26">
        <v>130290</v>
      </c>
      <c r="E17" s="26" t="s">
        <v>216</v>
      </c>
      <c r="F17" s="28" t="s">
        <v>258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>
        <f t="shared" si="1"/>
        <v>130290</v>
      </c>
      <c r="AN17" s="29">
        <f t="shared" si="2"/>
        <v>4343</v>
      </c>
      <c r="AO17" s="21"/>
      <c r="AP17" s="21" t="str">
        <f t="shared" si="4"/>
        <v>108板+23箱</v>
      </c>
      <c r="AQ17" s="21" t="str">
        <f t="shared" si="3"/>
        <v/>
      </c>
      <c r="AR17" s="22"/>
      <c r="AS17" s="23"/>
      <c r="AT17" s="9">
        <v>40</v>
      </c>
      <c r="AU17" s="9"/>
      <c r="AV17" s="9"/>
    </row>
    <row r="18" s="3" customFormat="1" ht="17.65" spans="1:61">
      <c r="A18" s="26">
        <v>72067</v>
      </c>
      <c r="B18" s="26" t="s">
        <v>41</v>
      </c>
      <c r="C18" s="27" t="s">
        <v>259</v>
      </c>
      <c r="D18" s="26">
        <v>78390</v>
      </c>
      <c r="E18" s="26" t="s">
        <v>216</v>
      </c>
      <c r="F18" s="28" t="s">
        <v>260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>
        <f t="shared" si="1"/>
        <v>78390</v>
      </c>
      <c r="AN18" s="29">
        <f t="shared" si="2"/>
        <v>2613</v>
      </c>
      <c r="AO18" s="21"/>
      <c r="AP18" s="21" t="str">
        <f t="shared" si="4"/>
        <v>65板+13箱</v>
      </c>
      <c r="AQ18" s="21" t="str">
        <f t="shared" si="3"/>
        <v/>
      </c>
      <c r="AR18" s="22"/>
      <c r="AS18" s="23"/>
      <c r="AT18" s="9">
        <v>40</v>
      </c>
      <c r="AU18" s="9"/>
      <c r="AV18" s="9"/>
    </row>
    <row r="19" s="3" customFormat="1" ht="17.65" spans="1:61">
      <c r="A19" s="26">
        <v>72067</v>
      </c>
      <c r="B19" s="26" t="s">
        <v>41</v>
      </c>
      <c r="C19" s="30" t="s">
        <v>261</v>
      </c>
      <c r="D19" s="26">
        <v>104610</v>
      </c>
      <c r="E19" s="26" t="s">
        <v>216</v>
      </c>
      <c r="F19" s="28" t="s">
        <v>260</v>
      </c>
      <c r="G19" s="26">
        <v>1007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>
        <f t="shared" si="1"/>
        <v>74400</v>
      </c>
      <c r="AN19" s="29">
        <f t="shared" si="2"/>
        <v>2480</v>
      </c>
      <c r="AO19" s="21"/>
      <c r="AP19" s="21" t="str">
        <f t="shared" si="4"/>
        <v>62板</v>
      </c>
      <c r="AQ19" s="21" t="str">
        <f t="shared" si="3"/>
        <v>发过</v>
      </c>
      <c r="AR19" s="22"/>
      <c r="AS19" s="23"/>
      <c r="AT19" s="9">
        <v>40</v>
      </c>
      <c r="AU19" s="9"/>
      <c r="AV19" s="9"/>
    </row>
    <row r="20" s="3" customFormat="1" ht="17.65" spans="1:61">
      <c r="A20" s="26">
        <v>72067</v>
      </c>
      <c r="B20" s="26" t="s">
        <v>41</v>
      </c>
      <c r="C20" s="30" t="s">
        <v>262</v>
      </c>
      <c r="D20" s="26">
        <v>104250</v>
      </c>
      <c r="E20" s="26" t="s">
        <v>263</v>
      </c>
      <c r="F20" s="28" t="s">
        <v>264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>
        <f>3475</f>
        <v>3475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>
        <f t="shared" si="1"/>
        <v>0</v>
      </c>
      <c r="AN20" s="29">
        <f t="shared" si="2"/>
        <v>0</v>
      </c>
      <c r="AO20" s="21"/>
      <c r="AP20" s="21"/>
      <c r="AQ20" s="21"/>
      <c r="AR20" s="31"/>
      <c r="AS20" s="22"/>
      <c r="AT20" s="9">
        <v>40</v>
      </c>
      <c r="AU20" s="9"/>
      <c r="AV20" s="9"/>
    </row>
    <row r="21" s="3" customFormat="1" ht="17.65" spans="1:61">
      <c r="A21" s="26">
        <v>72067</v>
      </c>
      <c r="B21" s="26" t="s">
        <v>41</v>
      </c>
      <c r="C21" s="30" t="s">
        <v>265</v>
      </c>
      <c r="D21" s="26">
        <v>260580</v>
      </c>
      <c r="E21" s="26" t="s">
        <v>263</v>
      </c>
      <c r="F21" s="28" t="s">
        <v>264</v>
      </c>
      <c r="G21" s="26"/>
      <c r="H21" s="26"/>
      <c r="I21" s="26"/>
      <c r="J21" s="26"/>
      <c r="K21" s="26"/>
      <c r="L21" s="26">
        <v>8686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>
        <f t="shared" si="1"/>
        <v>0</v>
      </c>
      <c r="AN21" s="29">
        <f t="shared" si="2"/>
        <v>0</v>
      </c>
      <c r="AO21" s="21"/>
      <c r="AP21" s="26"/>
      <c r="AQ21" s="21"/>
      <c r="AR21" s="31"/>
      <c r="AS21" s="22"/>
      <c r="AT21" s="9"/>
      <c r="AU21" s="9"/>
      <c r="AV21" s="9"/>
    </row>
    <row r="22" s="3" customFormat="1" ht="17.65" spans="1:61">
      <c r="A22" s="26">
        <v>72067</v>
      </c>
      <c r="B22" s="26" t="s">
        <v>41</v>
      </c>
      <c r="C22" s="30" t="s">
        <v>266</v>
      </c>
      <c r="D22" s="26">
        <v>50010</v>
      </c>
      <c r="E22" s="26"/>
      <c r="F22" s="28" t="s">
        <v>267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>
        <f t="shared" si="1"/>
        <v>50010</v>
      </c>
      <c r="AN22" s="29">
        <f t="shared" si="2"/>
        <v>1667</v>
      </c>
      <c r="AO22" s="21"/>
      <c r="AP22" s="21" t="str">
        <f>IF(INT(AN22/AT22)=0,MOD(AN22,AT22)&amp;"箱",INT(AN22/AT22)&amp;"板"&amp;IF(MOD(AN22,AT22)&gt;0,"+"&amp;MOD(AN22,AT22)&amp;"箱",""))</f>
        <v>41板+27箱</v>
      </c>
      <c r="AQ22" s="21"/>
      <c r="AR22" s="31"/>
      <c r="AS22" s="22"/>
      <c r="AT22" s="9">
        <v>40</v>
      </c>
      <c r="AU22" s="9"/>
      <c r="AV22" s="9"/>
    </row>
    <row r="23" s="3" customFormat="1" spans="1:61">
      <c r="A23" s="26"/>
      <c r="B23" s="26"/>
      <c r="C23" s="27"/>
      <c r="D23" s="26"/>
      <c r="E23" s="26"/>
      <c r="F23" s="28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9"/>
      <c r="AO23" s="21"/>
      <c r="AP23" s="21"/>
      <c r="AQ23" s="21"/>
      <c r="AR23" s="31"/>
      <c r="AS23" s="22"/>
      <c r="AT23" s="9"/>
      <c r="AU23" s="9"/>
      <c r="AV23" s="9"/>
    </row>
    <row r="24" s="3" customFormat="1" ht="17.65" spans="1:61">
      <c r="A24" s="17">
        <v>20380</v>
      </c>
      <c r="B24" s="17" t="s">
        <v>59</v>
      </c>
      <c r="C24" s="17" t="s">
        <v>268</v>
      </c>
      <c r="D24" s="17">
        <v>45870</v>
      </c>
      <c r="E24" s="17" t="s">
        <v>61</v>
      </c>
      <c r="F24" s="25" t="s">
        <v>269</v>
      </c>
      <c r="G24" s="17"/>
      <c r="H24" s="17">
        <f>260</f>
        <v>260</v>
      </c>
      <c r="I24" s="17">
        <v>215</v>
      </c>
      <c r="J24" s="17">
        <v>150</v>
      </c>
      <c r="K24" s="17"/>
      <c r="L24" s="17"/>
      <c r="M24" s="17"/>
      <c r="N24" s="17">
        <v>30</v>
      </c>
      <c r="O24" s="17">
        <v>60</v>
      </c>
      <c r="P24" s="17">
        <f>100+45+100+100</f>
        <v>345</v>
      </c>
      <c r="Q24" s="17"/>
      <c r="R24" s="17"/>
      <c r="S24" s="17">
        <f>50+320</f>
        <v>370</v>
      </c>
      <c r="T24" s="17"/>
      <c r="U24" s="17"/>
      <c r="V24" s="17">
        <f>20</f>
        <v>20</v>
      </c>
      <c r="W24" s="17">
        <f>50</f>
        <v>50</v>
      </c>
      <c r="X24" s="17"/>
      <c r="Y24" s="17"/>
      <c r="Z24" s="17">
        <f>20</f>
        <v>20</v>
      </c>
      <c r="AA24" s="17">
        <f>9</f>
        <v>9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>
        <f t="shared" ref="AM24:AM29" si="5">AN24*30</f>
        <v>0</v>
      </c>
      <c r="AN24" s="19">
        <f t="shared" ref="AN24:AN29" si="6">(D24/30)-G24-H24-I24-J24-K24-L24-M24-N24-O24-P24-Q24-R24-S24-T24-U24-V24-W24-X24-Y24-Z24-AA24-AB24-AC24-AD24-AE24-AF24-AG24-AH24-AI24-AJ24-AK24-AL24</f>
        <v>0</v>
      </c>
      <c r="AO24" s="20"/>
      <c r="AP24" s="21"/>
      <c r="AQ24" s="21" t="str">
        <f>IF(AM24&lt;&gt;D24,"发过","")</f>
        <v>发过</v>
      </c>
      <c r="AR24" s="22"/>
      <c r="AS24" s="23"/>
      <c r="AT24" s="9">
        <v>50</v>
      </c>
      <c r="AU24" s="9"/>
      <c r="AV24" s="9"/>
    </row>
    <row r="25" s="3" customFormat="1" ht="17.65" spans="1:61">
      <c r="A25" s="26">
        <v>20380</v>
      </c>
      <c r="B25" s="26" t="s">
        <v>59</v>
      </c>
      <c r="C25" s="26" t="s">
        <v>270</v>
      </c>
      <c r="D25" s="26">
        <v>134250</v>
      </c>
      <c r="E25" s="26" t="s">
        <v>61</v>
      </c>
      <c r="F25" s="28" t="s">
        <v>271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>
        <f>91</f>
        <v>91</v>
      </c>
      <c r="AB25" s="26">
        <f>50</f>
        <v>50</v>
      </c>
      <c r="AC25" s="26"/>
      <c r="AD25" s="26">
        <f>50</f>
        <v>50</v>
      </c>
      <c r="AE25" s="26"/>
      <c r="AF25" s="26"/>
      <c r="AG25" s="26">
        <f>3000</f>
        <v>3000</v>
      </c>
      <c r="AH25" s="26"/>
      <c r="AI25" s="26"/>
      <c r="AJ25" s="26"/>
      <c r="AK25" s="26"/>
      <c r="AL25" s="26"/>
      <c r="AM25" s="26">
        <f t="shared" si="5"/>
        <v>38520</v>
      </c>
      <c r="AN25" s="29">
        <f t="shared" si="6"/>
        <v>1284</v>
      </c>
      <c r="AO25" s="21"/>
      <c r="AP25" s="21" t="str">
        <f t="shared" ref="AP24:AP29" si="7">IF(INT(AN25/AT25)=0,MOD(AN25,AT25)&amp;"箱",INT(AN25/AT25)&amp;"板"&amp;IF(MOD(AN25,AT25)&gt;0,"+"&amp;MOD(AN25,AT25)&amp;"箱",""))</f>
        <v>25板+34箱</v>
      </c>
      <c r="AQ25" s="21" t="str">
        <f>IF(AM25&lt;&gt;D25,"发过","")</f>
        <v>发过</v>
      </c>
      <c r="AR25" s="22" t="s">
        <v>272</v>
      </c>
      <c r="AS25" s="23"/>
      <c r="AT25" s="9">
        <v>50</v>
      </c>
      <c r="AU25" s="9"/>
      <c r="AV25" s="9"/>
    </row>
    <row r="26" s="3" customFormat="1" ht="17.65" spans="1:61">
      <c r="A26" s="17">
        <v>20380</v>
      </c>
      <c r="B26" s="17" t="s">
        <v>59</v>
      </c>
      <c r="C26" s="17" t="s">
        <v>273</v>
      </c>
      <c r="D26" s="17">
        <v>97710</v>
      </c>
      <c r="E26" s="17" t="s">
        <v>61</v>
      </c>
      <c r="F26" s="25" t="s">
        <v>274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>
        <v>3257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>
        <f t="shared" si="5"/>
        <v>0</v>
      </c>
      <c r="AN26" s="19">
        <f t="shared" si="6"/>
        <v>0</v>
      </c>
      <c r="AO26" s="20"/>
      <c r="AP26" s="21"/>
      <c r="AQ26" s="21" t="str">
        <f>IF(AM26&lt;&gt;D26,"发过","")</f>
        <v>发过</v>
      </c>
      <c r="AR26" s="22" t="s">
        <v>272</v>
      </c>
      <c r="AS26" s="23"/>
      <c r="AT26" s="9">
        <v>50</v>
      </c>
      <c r="AU26" s="9"/>
      <c r="AV26" s="9"/>
    </row>
    <row r="27" s="3" customFormat="1" ht="17.65" spans="1:61">
      <c r="A27" s="26">
        <v>20380</v>
      </c>
      <c r="B27" s="26" t="s">
        <v>59</v>
      </c>
      <c r="C27" s="26" t="s">
        <v>275</v>
      </c>
      <c r="D27" s="26">
        <v>8400</v>
      </c>
      <c r="E27" s="26" t="s">
        <v>61</v>
      </c>
      <c r="F27" s="28" t="s">
        <v>276</v>
      </c>
      <c r="G27" s="26"/>
      <c r="H27" s="26"/>
      <c r="I27" s="26"/>
      <c r="J27" s="26"/>
      <c r="K27" s="26"/>
      <c r="L27" s="26"/>
      <c r="M27" s="26"/>
      <c r="N27" s="26"/>
      <c r="O27" s="26">
        <v>200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>
        <f t="shared" si="5"/>
        <v>2400</v>
      </c>
      <c r="AN27" s="29">
        <f t="shared" si="6"/>
        <v>80</v>
      </c>
      <c r="AO27" s="21"/>
      <c r="AP27" s="21" t="str">
        <f t="shared" si="7"/>
        <v>1板+10箱</v>
      </c>
      <c r="AQ27" s="21" t="str">
        <f>IF(AM27&lt;&gt;D27,"发过","")</f>
        <v>发过</v>
      </c>
      <c r="AR27" s="22" t="s">
        <v>277</v>
      </c>
      <c r="AS27" s="23"/>
      <c r="AT27" s="9">
        <v>70</v>
      </c>
      <c r="AU27" s="9"/>
      <c r="AV27" s="9"/>
    </row>
    <row r="28" s="3" customFormat="1" ht="17.65" spans="1:61">
      <c r="A28" s="17">
        <v>20380</v>
      </c>
      <c r="B28" s="17" t="s">
        <v>59</v>
      </c>
      <c r="C28" s="17" t="s">
        <v>278</v>
      </c>
      <c r="D28" s="17">
        <v>3120</v>
      </c>
      <c r="E28" s="17" t="s">
        <v>51</v>
      </c>
      <c r="F28" s="25" t="s">
        <v>279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>
        <v>104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>
        <f t="shared" si="5"/>
        <v>0</v>
      </c>
      <c r="AN28" s="19">
        <f t="shared" si="6"/>
        <v>0</v>
      </c>
      <c r="AO28" s="20"/>
      <c r="AP28" s="21"/>
      <c r="AQ28" s="21" t="str">
        <f>IF(AM28&lt;&gt;D28,"发过","")</f>
        <v>发过</v>
      </c>
      <c r="AR28" s="22" t="s">
        <v>280</v>
      </c>
      <c r="AS28" s="23"/>
      <c r="AT28" s="9">
        <v>50</v>
      </c>
      <c r="AU28" s="9"/>
      <c r="AV28" s="9"/>
    </row>
    <row r="29" s="3" customFormat="1" ht="17.65" spans="1:61">
      <c r="A29" s="26">
        <v>20380</v>
      </c>
      <c r="B29" s="26" t="s">
        <v>59</v>
      </c>
      <c r="C29" s="26" t="s">
        <v>281</v>
      </c>
      <c r="D29" s="26">
        <v>50010</v>
      </c>
      <c r="E29" s="26"/>
      <c r="F29" s="28" t="s">
        <v>282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>
        <f t="shared" si="5"/>
        <v>50010</v>
      </c>
      <c r="AN29" s="29">
        <f t="shared" si="6"/>
        <v>1667</v>
      </c>
      <c r="AO29" s="21"/>
      <c r="AP29" s="21" t="str">
        <f t="shared" si="7"/>
        <v>33板+17箱</v>
      </c>
      <c r="AQ29" s="21"/>
      <c r="AR29" s="22" t="s">
        <v>283</v>
      </c>
      <c r="AS29" s="23"/>
      <c r="AT29" s="9">
        <v>50</v>
      </c>
      <c r="AU29" s="9"/>
      <c r="AV29" s="9"/>
    </row>
    <row r="30" s="3" customFormat="1" spans="1:61">
      <c r="A30" s="29"/>
      <c r="B30" s="26"/>
      <c r="C30" s="26"/>
      <c r="D30" s="26"/>
      <c r="E30" s="26"/>
      <c r="F30" s="28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9"/>
      <c r="AO30" s="21"/>
      <c r="AP30" s="21"/>
      <c r="AQ30" s="21" t="str">
        <f t="shared" ref="AQ30:AQ35" si="8">IF(AM30&lt;&gt;D30,"发过","")</f>
        <v/>
      </c>
      <c r="AR30" s="22"/>
      <c r="AS30" s="23"/>
      <c r="AT30" s="9"/>
      <c r="AU30" s="9"/>
      <c r="AV30" s="9"/>
    </row>
    <row r="31" s="2" customFormat="1" ht="17.65" spans="1:61">
      <c r="A31" s="19">
        <v>72068</v>
      </c>
      <c r="B31" s="17" t="s">
        <v>73</v>
      </c>
      <c r="C31" s="17" t="s">
        <v>284</v>
      </c>
      <c r="D31" s="17">
        <v>720</v>
      </c>
      <c r="E31" s="17" t="s">
        <v>61</v>
      </c>
      <c r="F31" s="25" t="s">
        <v>285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>
        <v>18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>
        <f t="shared" ref="AM31:AM37" si="9">40*AN31</f>
        <v>0</v>
      </c>
      <c r="AN31" s="19">
        <f t="shared" ref="AN31:AN37" si="10">(D31/40)-G31-H31-I31-J31-K31-L31-M31-N31-O31-P31-Q31-R31-S31-T31-U31-V31-W31-X31-Y31-Z31-AA31-AB31-AC31-AD31-AE31-AF31-AG31-AH31-AI31-AJ31-AK31-AL31</f>
        <v>0</v>
      </c>
      <c r="AO31" s="20"/>
      <c r="AP31" s="21"/>
      <c r="AQ31" s="21" t="str">
        <f t="shared" si="8"/>
        <v>发过</v>
      </c>
      <c r="AR31" s="22"/>
      <c r="AS31" s="23"/>
      <c r="AT31" s="9">
        <v>50</v>
      </c>
      <c r="AU31" s="9"/>
      <c r="AV31" s="9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="2" customFormat="1" ht="17.65" spans="1:61">
      <c r="A32" s="19">
        <v>72068</v>
      </c>
      <c r="B32" s="17" t="s">
        <v>73</v>
      </c>
      <c r="C32" s="17" t="s">
        <v>286</v>
      </c>
      <c r="D32" s="17">
        <v>4000</v>
      </c>
      <c r="E32" s="17" t="s">
        <v>61</v>
      </c>
      <c r="F32" s="25" t="s">
        <v>287</v>
      </c>
      <c r="G32" s="17"/>
      <c r="H32" s="17"/>
      <c r="I32" s="17">
        <v>100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>
        <f t="shared" si="9"/>
        <v>0</v>
      </c>
      <c r="AN32" s="19">
        <f t="shared" si="10"/>
        <v>0</v>
      </c>
      <c r="AO32" s="20"/>
      <c r="AP32" s="21"/>
      <c r="AQ32" s="21" t="str">
        <f t="shared" si="8"/>
        <v>发过</v>
      </c>
      <c r="AR32" s="22"/>
      <c r="AS32" s="23"/>
      <c r="AT32" s="9">
        <v>50</v>
      </c>
      <c r="AU32" s="9"/>
      <c r="AV32" s="9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="3" customFormat="1" ht="17.65" spans="1:48">
      <c r="A33" s="29">
        <v>72068</v>
      </c>
      <c r="B33" s="26" t="s">
        <v>73</v>
      </c>
      <c r="C33" s="26" t="s">
        <v>288</v>
      </c>
      <c r="D33" s="26">
        <v>187760</v>
      </c>
      <c r="E33" s="26" t="s">
        <v>51</v>
      </c>
      <c r="F33" s="28" t="s">
        <v>289</v>
      </c>
      <c r="G33" s="26">
        <v>100</v>
      </c>
      <c r="H33" s="26">
        <v>420</v>
      </c>
      <c r="I33" s="26">
        <v>551</v>
      </c>
      <c r="J33" s="26">
        <v>1</v>
      </c>
      <c r="K33" s="26"/>
      <c r="L33" s="26"/>
      <c r="M33" s="26"/>
      <c r="N33" s="26">
        <v>620</v>
      </c>
      <c r="O33" s="26">
        <v>220</v>
      </c>
      <c r="P33" s="26">
        <f>1+100</f>
        <v>101</v>
      </c>
      <c r="Q33" s="26"/>
      <c r="R33" s="26"/>
      <c r="S33" s="26"/>
      <c r="T33" s="26"/>
      <c r="U33" s="26">
        <f>100+100+80</f>
        <v>280</v>
      </c>
      <c r="V33" s="26">
        <f>1954+30</f>
        <v>1984</v>
      </c>
      <c r="W33" s="26">
        <f>100+100</f>
        <v>200</v>
      </c>
      <c r="X33" s="26"/>
      <c r="Y33" s="26"/>
      <c r="Z33" s="26">
        <f>100</f>
        <v>100</v>
      </c>
      <c r="AA33" s="26">
        <f>100</f>
        <v>100</v>
      </c>
      <c r="AB33" s="26">
        <f>10</f>
        <v>10</v>
      </c>
      <c r="AC33" s="26"/>
      <c r="AD33" s="26">
        <f>6</f>
        <v>6</v>
      </c>
      <c r="AE33" s="26"/>
      <c r="AF33" s="26"/>
      <c r="AG33" s="26"/>
      <c r="AH33" s="26"/>
      <c r="AI33" s="26"/>
      <c r="AJ33" s="26"/>
      <c r="AK33" s="26"/>
      <c r="AL33" s="26"/>
      <c r="AM33" s="26">
        <f t="shared" si="9"/>
        <v>40</v>
      </c>
      <c r="AN33" s="29">
        <f t="shared" si="10"/>
        <v>1</v>
      </c>
      <c r="AO33" s="21"/>
      <c r="AP33" s="21" t="str">
        <f t="shared" ref="AP31:AP37" si="11">IF(INT(AN33/AT33)=0,MOD(AN33,AT33)&amp;"箱",INT(AN33/AT33)&amp;"板"&amp;IF(MOD(AN33,AT33)&gt;0,"+"&amp;MOD(AN33,AT33)&amp;"箱",""))</f>
        <v>1箱</v>
      </c>
      <c r="AQ33" s="21" t="str">
        <f t="shared" si="8"/>
        <v>发过</v>
      </c>
      <c r="AR33" s="22" t="s">
        <v>290</v>
      </c>
      <c r="AS33" s="23"/>
      <c r="AT33" s="9">
        <v>50</v>
      </c>
      <c r="AU33" s="9"/>
      <c r="AV33" s="9"/>
    </row>
    <row r="34" s="3" customFormat="1" ht="17.65" spans="1:48">
      <c r="A34" s="19">
        <v>72068</v>
      </c>
      <c r="B34" s="17" t="s">
        <v>73</v>
      </c>
      <c r="C34" s="17" t="s">
        <v>291</v>
      </c>
      <c r="D34" s="17">
        <v>211840</v>
      </c>
      <c r="E34" s="17" t="s">
        <v>51</v>
      </c>
      <c r="F34" s="25" t="s">
        <v>279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>
        <f>5296</f>
        <v>5296</v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>
        <f t="shared" si="9"/>
        <v>0</v>
      </c>
      <c r="AN34" s="19">
        <f t="shared" si="10"/>
        <v>0</v>
      </c>
      <c r="AO34" s="20"/>
      <c r="AP34" s="21"/>
      <c r="AQ34" s="21" t="str">
        <f t="shared" si="8"/>
        <v>发过</v>
      </c>
      <c r="AR34" s="22"/>
      <c r="AS34" s="23"/>
      <c r="AT34" s="9">
        <v>50</v>
      </c>
      <c r="AU34" s="9"/>
      <c r="AV34" s="9"/>
    </row>
    <row r="35" s="3" customFormat="1" ht="17.65" spans="1:48">
      <c r="A35" s="29">
        <v>72068</v>
      </c>
      <c r="B35" s="26" t="s">
        <v>73</v>
      </c>
      <c r="C35" s="26" t="s">
        <v>292</v>
      </c>
      <c r="D35" s="26">
        <v>105920</v>
      </c>
      <c r="E35" s="26" t="s">
        <v>51</v>
      </c>
      <c r="F35" s="28" t="s">
        <v>293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>
        <f>44</f>
        <v>44</v>
      </c>
      <c r="AE35" s="26">
        <f>200+50</f>
        <v>250</v>
      </c>
      <c r="AF35" s="26"/>
      <c r="AG35" s="26"/>
      <c r="AH35" s="26"/>
      <c r="AI35" s="26"/>
      <c r="AJ35" s="26"/>
      <c r="AK35" s="26"/>
      <c r="AL35" s="26"/>
      <c r="AM35" s="26">
        <f t="shared" si="9"/>
        <v>94160</v>
      </c>
      <c r="AN35" s="29">
        <f t="shared" si="10"/>
        <v>2354</v>
      </c>
      <c r="AO35" s="21"/>
      <c r="AP35" s="21" t="str">
        <f t="shared" si="11"/>
        <v>47板+4箱</v>
      </c>
      <c r="AQ35" s="21" t="str">
        <f t="shared" si="8"/>
        <v>发过</v>
      </c>
      <c r="AR35" s="22" t="s">
        <v>294</v>
      </c>
      <c r="AS35" s="23"/>
      <c r="AT35" s="9">
        <v>50</v>
      </c>
      <c r="AU35" s="9"/>
      <c r="AV35" s="9"/>
    </row>
    <row r="36" s="3" customFormat="1" ht="17.65" spans="1:48">
      <c r="A36" s="29">
        <v>72068</v>
      </c>
      <c r="B36" s="26" t="s">
        <v>73</v>
      </c>
      <c r="C36" s="26" t="s">
        <v>295</v>
      </c>
      <c r="D36" s="26">
        <v>44000</v>
      </c>
      <c r="E36" s="26"/>
      <c r="F36" s="28" t="s">
        <v>296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>
        <f t="shared" si="9"/>
        <v>44000</v>
      </c>
      <c r="AN36" s="29">
        <f t="shared" si="10"/>
        <v>1100</v>
      </c>
      <c r="AO36" s="21"/>
      <c r="AP36" s="21" t="str">
        <f t="shared" si="11"/>
        <v>22板</v>
      </c>
      <c r="AQ36" s="21"/>
      <c r="AR36" s="22" t="s">
        <v>297</v>
      </c>
      <c r="AS36" s="23"/>
      <c r="AT36" s="9">
        <v>50</v>
      </c>
      <c r="AU36" s="9"/>
      <c r="AV36" s="9"/>
    </row>
    <row r="37" s="3" customFormat="1" ht="17.65" spans="1:48">
      <c r="A37" s="29">
        <v>72068</v>
      </c>
      <c r="B37" s="26" t="s">
        <v>73</v>
      </c>
      <c r="C37" s="26" t="s">
        <v>298</v>
      </c>
      <c r="D37" s="26">
        <v>123280</v>
      </c>
      <c r="E37" s="26"/>
      <c r="F37" s="28" t="s">
        <v>299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>
        <f t="shared" si="9"/>
        <v>123280</v>
      </c>
      <c r="AN37" s="29">
        <f t="shared" si="10"/>
        <v>3082</v>
      </c>
      <c r="AO37" s="21"/>
      <c r="AP37" s="21" t="str">
        <f t="shared" si="11"/>
        <v>61板+32箱</v>
      </c>
      <c r="AQ37" s="21"/>
      <c r="AR37" s="22"/>
      <c r="AS37" s="23"/>
      <c r="AT37" s="9">
        <v>50</v>
      </c>
      <c r="AU37" s="9"/>
      <c r="AV37" s="9"/>
    </row>
    <row r="38" s="3" customFormat="1" spans="1:48">
      <c r="A38" s="29"/>
      <c r="B38" s="26"/>
      <c r="C38" s="26"/>
      <c r="D38" s="26"/>
      <c r="E38" s="26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9"/>
      <c r="AO38" s="21"/>
      <c r="AP38" s="21"/>
      <c r="AQ38" s="21" t="str">
        <f t="shared" ref="AQ38:AQ57" si="12">IF(AM38&lt;&gt;D38,"发过","")</f>
        <v/>
      </c>
      <c r="AR38" s="22"/>
      <c r="AS38" s="23"/>
      <c r="AT38" s="9"/>
      <c r="AU38" s="9"/>
      <c r="AV38" s="9"/>
    </row>
    <row r="39" s="3" customFormat="1" ht="35.25" spans="1:48">
      <c r="A39" s="29">
        <v>20856</v>
      </c>
      <c r="B39" s="27" t="s">
        <v>80</v>
      </c>
      <c r="C39" s="26" t="s">
        <v>300</v>
      </c>
      <c r="D39" s="26">
        <v>6720</v>
      </c>
      <c r="E39" s="26" t="s">
        <v>82</v>
      </c>
      <c r="F39" s="28" t="s">
        <v>301</v>
      </c>
      <c r="G39" s="26"/>
      <c r="H39" s="26">
        <v>20</v>
      </c>
      <c r="I39" s="26"/>
      <c r="J39" s="26"/>
      <c r="K39" s="26"/>
      <c r="L39" s="26"/>
      <c r="M39" s="26"/>
      <c r="N39" s="26">
        <v>30</v>
      </c>
      <c r="O39" s="26">
        <v>12</v>
      </c>
      <c r="P39" s="26"/>
      <c r="Q39" s="26"/>
      <c r="R39" s="26"/>
      <c r="S39" s="26"/>
      <c r="T39" s="26"/>
      <c r="U39" s="26"/>
      <c r="V39" s="26">
        <f>20</f>
        <v>20</v>
      </c>
      <c r="W39" s="26"/>
      <c r="X39" s="26"/>
      <c r="Y39" s="26"/>
      <c r="Z39" s="26"/>
      <c r="AA39" s="26">
        <f>50</f>
        <v>50</v>
      </c>
      <c r="AB39" s="26"/>
      <c r="AC39" s="26"/>
      <c r="AD39" s="26">
        <f>2</f>
        <v>2</v>
      </c>
      <c r="AE39" s="26">
        <f>10</f>
        <v>10</v>
      </c>
      <c r="AF39" s="26"/>
      <c r="AG39" s="26"/>
      <c r="AH39" s="26"/>
      <c r="AI39" s="26"/>
      <c r="AJ39" s="26"/>
      <c r="AK39" s="26"/>
      <c r="AL39" s="26"/>
      <c r="AM39" s="26">
        <f t="shared" ref="AM39:AM42" si="13">AN39*30</f>
        <v>2400</v>
      </c>
      <c r="AN39" s="29">
        <f t="shared" ref="AN39:AN42" si="14">(D39/30)-G39-H39-I39-J39-K39-L39-M39-N39-O39-P39-Q39-R39-S39-T39-U39-V39-W39-X39-Y39-Z39-AA39-AB39-AC39-AD39-AE39-AF39-AG39-AH39-AI39-AJ39-AK39-AL39</f>
        <v>80</v>
      </c>
      <c r="AO39" s="21"/>
      <c r="AP39" s="21" t="str">
        <f t="shared" ref="AP39:AP49" si="15">IF(INT(AN39/AT39)=0,MOD(AN39,AT39)&amp;"箱",INT(AN39/AT39)&amp;"板"&amp;IF(MOD(AN39,AT39)&gt;0,"+"&amp;MOD(AN39,AT39)&amp;"箱",""))</f>
        <v>1板+30箱</v>
      </c>
      <c r="AQ39" s="21" t="str">
        <f t="shared" si="12"/>
        <v>发过</v>
      </c>
      <c r="AR39" s="22" t="s">
        <v>302</v>
      </c>
      <c r="AS39" s="23"/>
      <c r="AT39" s="9">
        <v>50</v>
      </c>
      <c r="AU39" s="9"/>
      <c r="AV39" s="9"/>
    </row>
    <row r="40" s="3" customFormat="1" ht="35.25" spans="1:48">
      <c r="A40" s="19">
        <v>20856</v>
      </c>
      <c r="B40" s="24" t="s">
        <v>80</v>
      </c>
      <c r="C40" s="17" t="s">
        <v>303</v>
      </c>
      <c r="D40" s="17">
        <v>60000</v>
      </c>
      <c r="E40" s="17" t="s">
        <v>142</v>
      </c>
      <c r="F40" s="25" t="s">
        <v>304</v>
      </c>
      <c r="G40" s="17"/>
      <c r="H40" s="17"/>
      <c r="I40" s="17"/>
      <c r="J40" s="17"/>
      <c r="K40" s="17"/>
      <c r="L40" s="17"/>
      <c r="M40" s="17"/>
      <c r="N40" s="17">
        <v>2000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>
        <f t="shared" si="13"/>
        <v>0</v>
      </c>
      <c r="AN40" s="19">
        <f t="shared" si="14"/>
        <v>0</v>
      </c>
      <c r="AO40" s="20"/>
      <c r="AP40" s="21"/>
      <c r="AQ40" s="21" t="str">
        <f t="shared" si="12"/>
        <v>发过</v>
      </c>
      <c r="AR40" s="22"/>
      <c r="AS40" s="23"/>
      <c r="AT40" s="9">
        <v>50</v>
      </c>
      <c r="AU40" s="9"/>
      <c r="AV40" s="9"/>
    </row>
    <row r="41" s="3" customFormat="1" spans="1:48">
      <c r="A41" s="29"/>
      <c r="B41" s="26"/>
      <c r="C41" s="26"/>
      <c r="D41" s="26"/>
      <c r="E41" s="26"/>
      <c r="F41" s="2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9"/>
      <c r="AO41" s="21"/>
      <c r="AP41" s="21"/>
      <c r="AQ41" s="21" t="str">
        <f t="shared" si="12"/>
        <v/>
      </c>
      <c r="AR41" s="22"/>
      <c r="AS41" s="23"/>
      <c r="AT41" s="9"/>
      <c r="AU41" s="9"/>
      <c r="AV41" s="9"/>
    </row>
    <row r="42" s="3" customFormat="1" ht="17.65" spans="1:48">
      <c r="A42" s="29">
        <v>19723</v>
      </c>
      <c r="B42" s="26" t="s">
        <v>83</v>
      </c>
      <c r="C42" s="26" t="s">
        <v>305</v>
      </c>
      <c r="D42" s="26">
        <v>36960</v>
      </c>
      <c r="E42" s="26" t="s">
        <v>85</v>
      </c>
      <c r="F42" s="28" t="s">
        <v>306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>
        <f>200</f>
        <v>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>
        <f t="shared" si="13"/>
        <v>30960</v>
      </c>
      <c r="AN42" s="29">
        <f t="shared" si="14"/>
        <v>1032</v>
      </c>
      <c r="AO42" s="21"/>
      <c r="AP42" s="21" t="str">
        <f>IF(INT(AN42/AT42)=0,MOD(AN42,AT42)&amp;"箱",INT(AN42/AT42)&amp;"板"&amp;IF(MOD(AN42,AT42)&gt;0,"+"&amp;MOD(AN42,AT42)&amp;"箱",""))</f>
        <v>25板+32箱</v>
      </c>
      <c r="AQ42" s="21" t="str">
        <f t="shared" si="12"/>
        <v>发过</v>
      </c>
      <c r="AR42" s="22" t="s">
        <v>307</v>
      </c>
      <c r="AS42" s="23"/>
      <c r="AT42" s="9">
        <v>40</v>
      </c>
      <c r="AU42" s="9"/>
      <c r="AV42" s="9"/>
    </row>
    <row r="43" s="3" customFormat="1" spans="1:48">
      <c r="A43" s="29"/>
      <c r="B43" s="26"/>
      <c r="C43" s="26"/>
      <c r="D43" s="26"/>
      <c r="E43" s="26"/>
      <c r="F43" s="2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9"/>
      <c r="AO43" s="21"/>
      <c r="AP43" s="21"/>
      <c r="AQ43" s="21" t="str">
        <f t="shared" si="12"/>
        <v/>
      </c>
      <c r="AR43" s="22"/>
      <c r="AS43" s="23"/>
      <c r="AT43" s="9"/>
      <c r="AU43" s="9"/>
      <c r="AV43" s="9"/>
    </row>
    <row r="44" s="3" customFormat="1" ht="17.65" spans="1:48">
      <c r="A44" s="19">
        <v>20854</v>
      </c>
      <c r="B44" s="17" t="s">
        <v>86</v>
      </c>
      <c r="C44" s="17" t="s">
        <v>308</v>
      </c>
      <c r="D44" s="17">
        <v>37170</v>
      </c>
      <c r="E44" s="17" t="s">
        <v>93</v>
      </c>
      <c r="F44" s="25" t="s">
        <v>309</v>
      </c>
      <c r="G44" s="17">
        <v>200</v>
      </c>
      <c r="H44" s="17">
        <v>260</v>
      </c>
      <c r="I44" s="17">
        <v>135</v>
      </c>
      <c r="J44" s="17">
        <v>150</v>
      </c>
      <c r="K44" s="17"/>
      <c r="L44" s="17"/>
      <c r="M44" s="17"/>
      <c r="N44" s="17">
        <v>30</v>
      </c>
      <c r="O44" s="17">
        <v>100</v>
      </c>
      <c r="P44" s="17">
        <f>10+40+100+10</f>
        <v>160</v>
      </c>
      <c r="Q44" s="17"/>
      <c r="R44" s="17"/>
      <c r="S44" s="17">
        <f>3+200</f>
        <v>203</v>
      </c>
      <c r="T44" s="17"/>
      <c r="U44" s="17">
        <v>1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>
        <f t="shared" ref="AM44:AM49" si="16">AN44*30</f>
        <v>0</v>
      </c>
      <c r="AN44" s="19">
        <f t="shared" ref="AN44:AN49" si="17">(D44/30)-G44-H44-I44-J44-K44-L44-M44-N44-O44-P44-Q44-R44-S44-T44-U44-V44-W44-X44-Y44-Z44-AA44-AB44-AC44-AD44-AE44-AF44-AG44-AH44-AI44-AJ44-AK44-AL44</f>
        <v>0</v>
      </c>
      <c r="AO44" s="20"/>
      <c r="AP44" s="21"/>
      <c r="AQ44" s="21" t="str">
        <f t="shared" si="12"/>
        <v>发过</v>
      </c>
      <c r="AR44" s="22"/>
      <c r="AS44" s="23"/>
      <c r="AT44" s="9">
        <v>50</v>
      </c>
      <c r="AU44" s="9"/>
      <c r="AV44" s="9"/>
    </row>
    <row r="45" s="3" customFormat="1" ht="17.65" spans="1:48">
      <c r="A45" s="29">
        <v>20854</v>
      </c>
      <c r="B45" s="26" t="s">
        <v>86</v>
      </c>
      <c r="C45" s="26" t="s">
        <v>310</v>
      </c>
      <c r="D45" s="26">
        <v>125430</v>
      </c>
      <c r="E45" s="26" t="s">
        <v>93</v>
      </c>
      <c r="F45" s="28" t="s">
        <v>311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>
        <f>97+330</f>
        <v>427</v>
      </c>
      <c r="T45" s="26"/>
      <c r="U45" s="26">
        <f>100</f>
        <v>100</v>
      </c>
      <c r="V45" s="26">
        <f>10</f>
        <v>10</v>
      </c>
      <c r="W45" s="26">
        <f>50</f>
        <v>50</v>
      </c>
      <c r="X45" s="26"/>
      <c r="Y45" s="26"/>
      <c r="Z45" s="26">
        <f>20</f>
        <v>20</v>
      </c>
      <c r="AA45" s="26">
        <f>100</f>
        <v>100</v>
      </c>
      <c r="AB45" s="26">
        <f>50+100+100</f>
        <v>250</v>
      </c>
      <c r="AC45" s="26">
        <f>100</f>
        <v>100</v>
      </c>
      <c r="AD45" s="26">
        <f>50+10</f>
        <v>60</v>
      </c>
      <c r="AE45" s="26">
        <f>10</f>
        <v>10</v>
      </c>
      <c r="AF45" s="26"/>
      <c r="AG45" s="26"/>
      <c r="AH45" s="26"/>
      <c r="AI45" s="26"/>
      <c r="AJ45" s="26"/>
      <c r="AK45" s="26"/>
      <c r="AL45" s="26"/>
      <c r="AM45" s="26">
        <f t="shared" si="16"/>
        <v>91620</v>
      </c>
      <c r="AN45" s="29">
        <f t="shared" si="17"/>
        <v>3054</v>
      </c>
      <c r="AO45" s="21"/>
      <c r="AP45" s="21" t="str">
        <f t="shared" si="15"/>
        <v>61板+4箱</v>
      </c>
      <c r="AQ45" s="21" t="str">
        <f t="shared" si="12"/>
        <v>发过</v>
      </c>
      <c r="AR45" s="22" t="s">
        <v>312</v>
      </c>
      <c r="AS45" s="23"/>
      <c r="AT45" s="9">
        <v>50</v>
      </c>
      <c r="AU45" s="9"/>
      <c r="AV45" s="9"/>
    </row>
    <row r="46" s="3" customFormat="1" ht="17.65" spans="1:48">
      <c r="A46" s="29">
        <v>20854</v>
      </c>
      <c r="B46" s="26" t="s">
        <v>86</v>
      </c>
      <c r="C46" s="26" t="s">
        <v>313</v>
      </c>
      <c r="D46" s="26">
        <v>41340</v>
      </c>
      <c r="E46" s="26" t="s">
        <v>144</v>
      </c>
      <c r="F46" s="28" t="s">
        <v>314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>
        <f t="shared" si="16"/>
        <v>41340</v>
      </c>
      <c r="AN46" s="29">
        <f t="shared" si="17"/>
        <v>1378</v>
      </c>
      <c r="AO46" s="21"/>
      <c r="AP46" s="21" t="str">
        <f t="shared" si="15"/>
        <v>27板+28箱</v>
      </c>
      <c r="AQ46" s="21" t="str">
        <f t="shared" si="12"/>
        <v/>
      </c>
      <c r="AR46" s="22"/>
      <c r="AS46" s="23"/>
      <c r="AT46" s="9">
        <v>50</v>
      </c>
      <c r="AU46" s="9"/>
      <c r="AV46" s="9"/>
    </row>
    <row r="47" s="3" customFormat="1" ht="17.65" spans="1:48">
      <c r="A47" s="29">
        <v>20854</v>
      </c>
      <c r="B47" s="26" t="s">
        <v>86</v>
      </c>
      <c r="C47" s="26" t="s">
        <v>315</v>
      </c>
      <c r="D47" s="26">
        <v>100110</v>
      </c>
      <c r="E47" s="26" t="s">
        <v>146</v>
      </c>
      <c r="F47" s="28" t="s">
        <v>316</v>
      </c>
      <c r="G47" s="26"/>
      <c r="H47" s="26">
        <v>2929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>
        <f t="shared" si="16"/>
        <v>12240</v>
      </c>
      <c r="AN47" s="29">
        <f t="shared" si="17"/>
        <v>408</v>
      </c>
      <c r="AO47" s="21"/>
      <c r="AP47" s="21" t="str">
        <f t="shared" si="15"/>
        <v>8板+8箱</v>
      </c>
      <c r="AQ47" s="21" t="str">
        <f t="shared" si="12"/>
        <v>发过</v>
      </c>
      <c r="AR47" s="22"/>
      <c r="AS47" s="23"/>
      <c r="AT47" s="9">
        <v>50</v>
      </c>
      <c r="AU47" s="9"/>
      <c r="AV47" s="9"/>
    </row>
    <row r="48" s="3" customFormat="1" ht="17.65" spans="1:48">
      <c r="A48" s="29">
        <v>20854</v>
      </c>
      <c r="B48" s="26" t="s">
        <v>86</v>
      </c>
      <c r="C48" s="26" t="s">
        <v>317</v>
      </c>
      <c r="D48" s="26">
        <v>132270</v>
      </c>
      <c r="E48" s="26" t="s">
        <v>148</v>
      </c>
      <c r="F48" s="28" t="s">
        <v>318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>
        <v>3738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>
        <f t="shared" si="16"/>
        <v>20130</v>
      </c>
      <c r="AN48" s="29">
        <f t="shared" si="17"/>
        <v>671</v>
      </c>
      <c r="AO48" s="21"/>
      <c r="AP48" s="21" t="str">
        <f t="shared" si="15"/>
        <v>13板+21箱</v>
      </c>
      <c r="AQ48" s="21" t="str">
        <f t="shared" si="12"/>
        <v>发过</v>
      </c>
      <c r="AR48" s="22"/>
      <c r="AS48" s="23"/>
      <c r="AT48" s="9">
        <v>50</v>
      </c>
      <c r="AU48" s="9"/>
      <c r="AV48" s="9"/>
    </row>
    <row r="49" s="3" customFormat="1" ht="17.65" spans="1:48">
      <c r="A49" s="29">
        <v>20854</v>
      </c>
      <c r="B49" s="26" t="s">
        <v>86</v>
      </c>
      <c r="C49" s="26" t="s">
        <v>319</v>
      </c>
      <c r="D49" s="26">
        <v>30000</v>
      </c>
      <c r="E49" s="26"/>
      <c r="F49" s="28" t="s">
        <v>320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>
        <f t="shared" si="16"/>
        <v>30000</v>
      </c>
      <c r="AN49" s="29">
        <f t="shared" si="17"/>
        <v>1000</v>
      </c>
      <c r="AO49" s="21"/>
      <c r="AP49" s="21" t="str">
        <f t="shared" si="15"/>
        <v>20板</v>
      </c>
      <c r="AQ49" s="21"/>
      <c r="AR49" s="22" t="s">
        <v>312</v>
      </c>
      <c r="AS49" s="23"/>
      <c r="AT49" s="9">
        <v>50</v>
      </c>
      <c r="AU49" s="9"/>
      <c r="AV49" s="9"/>
    </row>
    <row r="50" s="3" customFormat="1" spans="1:48">
      <c r="A50" s="29"/>
      <c r="B50" s="26"/>
      <c r="C50" s="26"/>
      <c r="D50" s="26"/>
      <c r="E50" s="26"/>
      <c r="F50" s="28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9"/>
      <c r="AO50" s="21"/>
      <c r="AP50" s="21"/>
      <c r="AQ50" s="21" t="str">
        <f t="shared" ref="AQ50:AQ58" si="18">IF(AM50&lt;&gt;D50,"发过","")</f>
        <v/>
      </c>
      <c r="AR50" s="22"/>
      <c r="AS50" s="23"/>
      <c r="AT50" s="9"/>
      <c r="AU50" s="9"/>
      <c r="AV50" s="9"/>
    </row>
    <row r="51" s="3" customFormat="1" ht="17.65" spans="1:48">
      <c r="A51" s="19">
        <v>20855</v>
      </c>
      <c r="B51" s="17" t="s">
        <v>95</v>
      </c>
      <c r="C51" s="17" t="s">
        <v>321</v>
      </c>
      <c r="D51" s="17">
        <v>34656</v>
      </c>
      <c r="E51" s="17" t="s">
        <v>85</v>
      </c>
      <c r="F51" s="25" t="s">
        <v>322</v>
      </c>
      <c r="G51" s="17">
        <f>100</f>
        <v>100</v>
      </c>
      <c r="H51" s="17">
        <v>15</v>
      </c>
      <c r="I51" s="17"/>
      <c r="J51" s="17">
        <f>1</f>
        <v>1</v>
      </c>
      <c r="K51" s="17"/>
      <c r="L51" s="17"/>
      <c r="M51" s="17"/>
      <c r="N51" s="17">
        <f>598</f>
        <v>598</v>
      </c>
      <c r="O51" s="17">
        <f>3+5</f>
        <v>8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>
        <f>AN51*48</f>
        <v>0</v>
      </c>
      <c r="AN51" s="19">
        <f>(D51/48)-G51-H51-I51-J51-K51-L51-M51-N51-O51-P51-Q51-R51-S51-T51-U51-V51-W51-X51-Y51-Z51-AA51-AB51-AC51-AD51-AE51-AF51-AG51-AH51-AI51-AJ51-AK51-AL51</f>
        <v>0</v>
      </c>
      <c r="AO51" s="20" t="s">
        <v>323</v>
      </c>
      <c r="AP51" s="21"/>
      <c r="AQ51" s="21" t="str">
        <f t="shared" si="18"/>
        <v>发过</v>
      </c>
      <c r="AR51" s="22"/>
      <c r="AS51" s="23"/>
      <c r="AT51" s="9">
        <v>80</v>
      </c>
      <c r="AU51" s="9"/>
      <c r="AV51" s="9"/>
    </row>
    <row r="52" s="3" customFormat="1" ht="17.65" spans="1:48">
      <c r="A52" s="29">
        <v>20855</v>
      </c>
      <c r="B52" s="26" t="s">
        <v>95</v>
      </c>
      <c r="C52" s="26" t="s">
        <v>324</v>
      </c>
      <c r="D52" s="26">
        <v>20016</v>
      </c>
      <c r="E52" s="26"/>
      <c r="F52" s="28" t="s">
        <v>325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>
        <f>25</f>
        <v>25</v>
      </c>
      <c r="U52" s="26"/>
      <c r="V52" s="26"/>
      <c r="W52" s="26"/>
      <c r="X52" s="26"/>
      <c r="Y52" s="26"/>
      <c r="Z52" s="26">
        <f>5+2</f>
        <v>7</v>
      </c>
      <c r="AA52" s="26">
        <f>100+7</f>
        <v>107</v>
      </c>
      <c r="AB52" s="26">
        <f>25+10</f>
        <v>35</v>
      </c>
      <c r="AC52" s="26"/>
      <c r="AD52" s="26"/>
      <c r="AE52" s="26">
        <f>10</f>
        <v>10</v>
      </c>
      <c r="AF52" s="26"/>
      <c r="AG52" s="26"/>
      <c r="AH52" s="26"/>
      <c r="AI52" s="26"/>
      <c r="AJ52" s="26"/>
      <c r="AK52" s="26"/>
      <c r="AL52" s="26"/>
      <c r="AM52" s="26">
        <f>AN52*48</f>
        <v>11184</v>
      </c>
      <c r="AN52" s="29">
        <f>(D52/48)-G52-H52-I52-J52-K52-L52-M52-N52-O52-P52-Q52-R52-S52-T52-U52-V52-W52-X52-Y52-Z52-AA52-AB52-AC52-AD52-AE52-AF52-AG52-AH52-AI52-AJ52-AK52-AL52</f>
        <v>233</v>
      </c>
      <c r="AO52" s="21"/>
      <c r="AP52" s="21" t="str">
        <f>IF(INT(AN52/AT52)=0,MOD(AN52,AT52)&amp;"箱",INT(AN52/AT52)&amp;"板"&amp;IF(MOD(AN52,AT52)&gt;0,"+"&amp;MOD(AN52,AT52)&amp;"箱",""))</f>
        <v>2板+73箱</v>
      </c>
      <c r="AQ52" s="21" t="str">
        <f t="shared" si="18"/>
        <v>发过</v>
      </c>
      <c r="AR52" s="22" t="s">
        <v>312</v>
      </c>
      <c r="AS52" s="23"/>
      <c r="AT52" s="9">
        <v>80</v>
      </c>
      <c r="AU52" s="9"/>
      <c r="AV52" s="9"/>
    </row>
    <row r="53" s="3" customFormat="1" spans="1:48">
      <c r="A53" s="29"/>
      <c r="B53" s="26"/>
      <c r="C53" s="26"/>
      <c r="D53" s="26"/>
      <c r="E53" s="26"/>
      <c r="F53" s="28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9"/>
      <c r="AO53" s="21"/>
      <c r="AP53" s="21"/>
      <c r="AQ53" s="21" t="str">
        <f t="shared" si="18"/>
        <v/>
      </c>
      <c r="AR53" s="22"/>
      <c r="AS53" s="23"/>
      <c r="AT53" s="9"/>
      <c r="AU53" s="9"/>
      <c r="AV53" s="9"/>
    </row>
    <row r="54" s="3" customFormat="1" ht="17.65" spans="1:48">
      <c r="A54" s="29">
        <v>20850</v>
      </c>
      <c r="B54" s="26" t="s">
        <v>97</v>
      </c>
      <c r="C54" s="26" t="s">
        <v>326</v>
      </c>
      <c r="D54" s="26">
        <v>20760</v>
      </c>
      <c r="E54" s="26" t="s">
        <v>89</v>
      </c>
      <c r="F54" s="28" t="s">
        <v>327</v>
      </c>
      <c r="G54" s="26"/>
      <c r="H54" s="26">
        <v>150</v>
      </c>
      <c r="I54" s="26"/>
      <c r="J54" s="26">
        <v>50</v>
      </c>
      <c r="K54" s="26"/>
      <c r="L54" s="26"/>
      <c r="M54" s="26"/>
      <c r="N54" s="26">
        <f>50</f>
        <v>50</v>
      </c>
      <c r="O54" s="26">
        <f>10+15</f>
        <v>25</v>
      </c>
      <c r="P54" s="26">
        <v>40</v>
      </c>
      <c r="Q54" s="26"/>
      <c r="R54" s="26"/>
      <c r="S54" s="26">
        <f>20</f>
        <v>20</v>
      </c>
      <c r="T54" s="26">
        <f>30</f>
        <v>30</v>
      </c>
      <c r="U54" s="26"/>
      <c r="V54" s="26"/>
      <c r="W54" s="26"/>
      <c r="X54" s="26"/>
      <c r="Y54" s="26"/>
      <c r="Z54" s="26">
        <f>80+5</f>
        <v>85</v>
      </c>
      <c r="AA54" s="26"/>
      <c r="AB54" s="26">
        <f>50</f>
        <v>50</v>
      </c>
      <c r="AC54" s="26"/>
      <c r="AD54" s="26"/>
      <c r="AE54" s="26">
        <f>20</f>
        <v>20</v>
      </c>
      <c r="AF54" s="26"/>
      <c r="AG54" s="26"/>
      <c r="AH54" s="26"/>
      <c r="AI54" s="26"/>
      <c r="AJ54" s="26"/>
      <c r="AK54" s="26"/>
      <c r="AL54" s="26"/>
      <c r="AM54" s="26">
        <f>AN54*30</f>
        <v>5160</v>
      </c>
      <c r="AN54" s="29">
        <f>(D54/30)-G54-H54-I54-J54-K54-L54-M54-N54-O54-P54-Q54-R54-S54-T54-U54-V54-W54-X54-Y54-Z54-AA54-AB54-AC54-AD54-AE54-AF54-AG54-AH54-AI54-AJ54-AK54-AL54</f>
        <v>172</v>
      </c>
      <c r="AO54" s="20" t="s">
        <v>328</v>
      </c>
      <c r="AP54" s="21" t="str">
        <f>IF(INT(AN54/AT54)=0,MOD(AN54,AT54)&amp;"箱",INT(AN54/AT54)&amp;"板"&amp;IF(MOD(AN54,AT54)&gt;0,"+"&amp;MOD(AN54,AT54)&amp;"箱",""))</f>
        <v>4板+32箱</v>
      </c>
      <c r="AQ54" s="21" t="str">
        <f t="shared" si="18"/>
        <v>发过</v>
      </c>
      <c r="AR54" s="22"/>
      <c r="AS54" s="23"/>
      <c r="AT54" s="9">
        <v>35</v>
      </c>
      <c r="AU54" s="9"/>
      <c r="AV54" s="9"/>
    </row>
    <row r="55" s="3" customFormat="1" spans="1:48">
      <c r="A55" s="29"/>
      <c r="B55" s="26"/>
      <c r="C55" s="26"/>
      <c r="D55" s="26"/>
      <c r="E55" s="26"/>
      <c r="F55" s="28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9"/>
      <c r="AO55" s="21"/>
      <c r="AP55" s="21"/>
      <c r="AQ55" s="21" t="str">
        <f t="shared" si="18"/>
        <v/>
      </c>
      <c r="AR55" s="22"/>
      <c r="AS55" s="23"/>
      <c r="AT55" s="9"/>
      <c r="AU55" s="9"/>
      <c r="AV55" s="9"/>
    </row>
    <row r="56" s="3" customFormat="1" ht="17.65" spans="1:48">
      <c r="A56" s="29">
        <v>20148</v>
      </c>
      <c r="B56" s="26" t="s">
        <v>99</v>
      </c>
      <c r="C56" s="26" t="s">
        <v>329</v>
      </c>
      <c r="D56" s="26">
        <v>22050</v>
      </c>
      <c r="E56" s="26" t="s">
        <v>135</v>
      </c>
      <c r="F56" s="28" t="s">
        <v>330</v>
      </c>
      <c r="G56" s="26">
        <v>60</v>
      </c>
      <c r="H56" s="26">
        <v>45</v>
      </c>
      <c r="I56" s="26">
        <v>150</v>
      </c>
      <c r="J56" s="26">
        <v>50</v>
      </c>
      <c r="K56" s="26"/>
      <c r="L56" s="26"/>
      <c r="M56" s="26"/>
      <c r="N56" s="26"/>
      <c r="O56" s="26">
        <v>50</v>
      </c>
      <c r="P56" s="26">
        <f>20+100</f>
        <v>120</v>
      </c>
      <c r="Q56" s="26"/>
      <c r="R56" s="26"/>
      <c r="S56" s="26">
        <f>15+15+120</f>
        <v>150</v>
      </c>
      <c r="T56" s="26"/>
      <c r="U56" s="26"/>
      <c r="V56" s="26"/>
      <c r="W56" s="26">
        <f>15</f>
        <v>15</v>
      </c>
      <c r="X56" s="26"/>
      <c r="Y56" s="26"/>
      <c r="Z56" s="26">
        <f>5</f>
        <v>5</v>
      </c>
      <c r="AA56" s="26">
        <f>13+6</f>
        <v>19</v>
      </c>
      <c r="AB56" s="26">
        <f>7</f>
        <v>7</v>
      </c>
      <c r="AC56" s="26">
        <v>4</v>
      </c>
      <c r="AD56" s="26">
        <f>50</f>
        <v>50</v>
      </c>
      <c r="AE56" s="26"/>
      <c r="AF56" s="26"/>
      <c r="AG56" s="26"/>
      <c r="AH56" s="26"/>
      <c r="AI56" s="26"/>
      <c r="AJ56" s="26"/>
      <c r="AK56" s="26"/>
      <c r="AL56" s="26"/>
      <c r="AM56" s="26">
        <f t="shared" ref="AM56:AM61" si="19">AN56*30</f>
        <v>300</v>
      </c>
      <c r="AN56" s="29">
        <f t="shared" ref="AN56:AN61" si="20">(D56/30)-G56-H56-I56-J56-K56-L56-M56-N56-O56-P56-Q56-R56-S56-T56-U56-V56-W56-X56-Y56-Z56-AA56-AB56-AC56-AD56-AE56-AF56-AG56-AH56-AI56-AJ56-AK56-AL56</f>
        <v>10</v>
      </c>
      <c r="AO56" s="21"/>
      <c r="AP56" s="21" t="str">
        <f t="shared" ref="AP56:AP61" si="21">IF(INT(AN56/AT56)=0,MOD(AN56,AT56)&amp;"箱",INT(AN56/AT56)&amp;"板"&amp;IF(MOD(AN56,AT56)&gt;0,"+"&amp;MOD(AN56,AT56)&amp;"箱",""))</f>
        <v>10箱</v>
      </c>
      <c r="AQ56" s="21" t="str">
        <f t="shared" si="18"/>
        <v>发过</v>
      </c>
      <c r="AR56" s="22"/>
      <c r="AS56" s="23"/>
      <c r="AT56" s="9">
        <v>70</v>
      </c>
      <c r="AU56" s="9"/>
      <c r="AV56" s="9"/>
    </row>
    <row r="57" s="4" customFormat="1" ht="17.65" spans="1:48">
      <c r="A57" s="29">
        <v>20148</v>
      </c>
      <c r="B57" s="26" t="s">
        <v>99</v>
      </c>
      <c r="C57" s="27" t="s">
        <v>331</v>
      </c>
      <c r="D57" s="27">
        <v>107940</v>
      </c>
      <c r="E57" s="27" t="s">
        <v>153</v>
      </c>
      <c r="F57" s="28" t="s">
        <v>332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>
        <f>5</f>
        <v>5</v>
      </c>
      <c r="AE57" s="27"/>
      <c r="AF57" s="27"/>
      <c r="AG57" s="27"/>
      <c r="AH57" s="27"/>
      <c r="AI57" s="27"/>
      <c r="AJ57" s="27"/>
      <c r="AK57" s="27"/>
      <c r="AL57" s="27"/>
      <c r="AM57" s="26">
        <f t="shared" si="19"/>
        <v>107790</v>
      </c>
      <c r="AN57" s="29">
        <f t="shared" si="20"/>
        <v>3593</v>
      </c>
      <c r="AO57" s="32"/>
      <c r="AP57" s="21" t="str">
        <f t="shared" si="21"/>
        <v>51板+23箱</v>
      </c>
      <c r="AQ57" s="21" t="str">
        <f t="shared" si="18"/>
        <v>发过</v>
      </c>
      <c r="AR57" s="22"/>
      <c r="AS57" s="23"/>
      <c r="AT57" s="9">
        <v>70</v>
      </c>
      <c r="AU57" s="33"/>
      <c r="AV57" s="33"/>
    </row>
    <row r="58" s="4" customFormat="1" ht="17.65" spans="1:48">
      <c r="A58" s="29">
        <v>20148</v>
      </c>
      <c r="B58" s="26" t="s">
        <v>99</v>
      </c>
      <c r="C58" s="27" t="s">
        <v>333</v>
      </c>
      <c r="D58" s="27">
        <v>19140</v>
      </c>
      <c r="E58" s="27" t="s">
        <v>140</v>
      </c>
      <c r="F58" s="28" t="s">
        <v>334</v>
      </c>
      <c r="G58" s="27"/>
      <c r="H58" s="27"/>
      <c r="I58" s="27"/>
      <c r="J58" s="27"/>
      <c r="K58" s="27"/>
      <c r="L58" s="27"/>
      <c r="M58" s="27"/>
      <c r="N58" s="27"/>
      <c r="O58" s="27">
        <v>130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6">
        <f t="shared" si="19"/>
        <v>15240</v>
      </c>
      <c r="AN58" s="29">
        <f t="shared" si="20"/>
        <v>508</v>
      </c>
      <c r="AO58" s="32"/>
      <c r="AP58" s="21" t="str">
        <f t="shared" ref="AP58:AP63" si="22">IF(INT(AN58/AT58)=0,MOD(AN58,AT58)&amp;"箱",INT(AN58/AT58)&amp;"板"&amp;IF(MOD(AN58,AT58)&gt;0,"+"&amp;MOD(AN58,AT58)&amp;"箱",""))</f>
        <v>7板+18箱</v>
      </c>
      <c r="AQ58" s="21" t="str">
        <f t="shared" si="18"/>
        <v>发过</v>
      </c>
      <c r="AR58" s="22"/>
      <c r="AS58" s="23"/>
      <c r="AT58" s="9">
        <v>70</v>
      </c>
      <c r="AU58" s="33"/>
      <c r="AV58" s="33"/>
    </row>
    <row r="59" s="4" customFormat="1" ht="17.65" spans="1:48">
      <c r="A59" s="29">
        <v>20148</v>
      </c>
      <c r="B59" s="26" t="s">
        <v>99</v>
      </c>
      <c r="C59" s="27" t="s">
        <v>335</v>
      </c>
      <c r="D59" s="27">
        <v>49200</v>
      </c>
      <c r="E59" s="27" t="s">
        <v>336</v>
      </c>
      <c r="F59" s="28" t="s">
        <v>337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6">
        <f t="shared" si="19"/>
        <v>49200</v>
      </c>
      <c r="AN59" s="29">
        <f t="shared" si="20"/>
        <v>1640</v>
      </c>
      <c r="AO59" s="32"/>
      <c r="AP59" s="21" t="str">
        <f t="shared" si="22"/>
        <v>23板+30箱</v>
      </c>
      <c r="AQ59" s="21"/>
      <c r="AR59" s="31"/>
      <c r="AS59" s="22"/>
      <c r="AT59" s="9">
        <v>70</v>
      </c>
      <c r="AU59" s="33"/>
      <c r="AV59" s="33"/>
    </row>
    <row r="60" s="4" customFormat="1" spans="1:48">
      <c r="A60" s="34"/>
      <c r="B60" s="27"/>
      <c r="C60" s="27"/>
      <c r="D60" s="27"/>
      <c r="E60" s="27"/>
      <c r="F60" s="28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6"/>
      <c r="AN60" s="29"/>
      <c r="AO60" s="32"/>
      <c r="AP60" s="32"/>
      <c r="AQ60" s="21" t="str">
        <f t="shared" ref="AQ60:AQ80" si="23">IF(AM60&lt;&gt;D60,"发过","")</f>
        <v/>
      </c>
      <c r="AR60" s="22"/>
      <c r="AS60" s="23"/>
      <c r="AT60" s="33"/>
      <c r="AU60" s="33"/>
      <c r="AV60" s="33"/>
    </row>
    <row r="61" s="4" customFormat="1" ht="35.25" spans="1:48">
      <c r="A61" s="34">
        <v>20858</v>
      </c>
      <c r="B61" s="27" t="s">
        <v>155</v>
      </c>
      <c r="C61" s="27" t="s">
        <v>338</v>
      </c>
      <c r="D61" s="27">
        <v>13110</v>
      </c>
      <c r="E61" s="27" t="s">
        <v>135</v>
      </c>
      <c r="F61" s="28" t="s">
        <v>339</v>
      </c>
      <c r="G61" s="27"/>
      <c r="H61" s="27">
        <v>5</v>
      </c>
      <c r="I61" s="27"/>
      <c r="J61" s="27"/>
      <c r="K61" s="27"/>
      <c r="L61" s="27"/>
      <c r="M61" s="27"/>
      <c r="N61" s="27"/>
      <c r="O61" s="27">
        <v>10</v>
      </c>
      <c r="P61" s="27"/>
      <c r="Q61" s="27"/>
      <c r="R61" s="27"/>
      <c r="S61" s="27"/>
      <c r="T61" s="27">
        <v>5</v>
      </c>
      <c r="U61" s="27"/>
      <c r="V61" s="27"/>
      <c r="W61" s="27"/>
      <c r="X61" s="27"/>
      <c r="Y61" s="27"/>
      <c r="Z61" s="27"/>
      <c r="AA61" s="27"/>
      <c r="AB61" s="27"/>
      <c r="AC61" s="27">
        <v>1</v>
      </c>
      <c r="AD61" s="27">
        <f>2</f>
        <v>2</v>
      </c>
      <c r="AE61" s="27"/>
      <c r="AF61" s="27"/>
      <c r="AG61" s="27"/>
      <c r="AH61" s="27"/>
      <c r="AI61" s="27"/>
      <c r="AJ61" s="27"/>
      <c r="AK61" s="27"/>
      <c r="AL61" s="27"/>
      <c r="AM61" s="26">
        <f t="shared" si="19"/>
        <v>12420</v>
      </c>
      <c r="AN61" s="29">
        <f t="shared" si="20"/>
        <v>414</v>
      </c>
      <c r="AO61" s="32"/>
      <c r="AP61" s="21" t="str">
        <f t="shared" si="21"/>
        <v>5板+64箱</v>
      </c>
      <c r="AQ61" s="21" t="str">
        <f t="shared" si="23"/>
        <v>发过</v>
      </c>
      <c r="AR61" s="22" t="s">
        <v>340</v>
      </c>
      <c r="AS61" s="23"/>
      <c r="AT61" s="33">
        <v>70</v>
      </c>
      <c r="AU61" s="33"/>
      <c r="AV61" s="33"/>
    </row>
    <row r="62" s="3" customFormat="1" spans="1:48">
      <c r="A62" s="29"/>
      <c r="B62" s="26"/>
      <c r="C62" s="26"/>
      <c r="D62" s="26"/>
      <c r="E62" s="26"/>
      <c r="F62" s="28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9"/>
      <c r="AO62" s="21"/>
      <c r="AP62" s="21"/>
      <c r="AQ62" s="21" t="str">
        <f t="shared" si="23"/>
        <v/>
      </c>
      <c r="AR62" s="22"/>
      <c r="AS62" s="23"/>
      <c r="AT62" s="9"/>
      <c r="AU62" s="9"/>
      <c r="AV62" s="9"/>
    </row>
    <row r="63" s="3" customFormat="1" ht="17.65" spans="1:48">
      <c r="A63" s="29">
        <v>20763</v>
      </c>
      <c r="B63" s="26" t="s">
        <v>157</v>
      </c>
      <c r="C63" s="26" t="s">
        <v>341</v>
      </c>
      <c r="D63" s="26">
        <v>9360</v>
      </c>
      <c r="E63" s="26" t="s">
        <v>151</v>
      </c>
      <c r="F63" s="28" t="s">
        <v>342</v>
      </c>
      <c r="G63" s="26"/>
      <c r="H63" s="26"/>
      <c r="I63" s="26">
        <v>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>
        <v>1</v>
      </c>
      <c r="AA63" s="26">
        <f>50</f>
        <v>50</v>
      </c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>
        <f>AN63*30</f>
        <v>7680</v>
      </c>
      <c r="AN63" s="29">
        <f>(D63/30)-G63-H63-I63-J63-K63-L63-M63-N63-O63-P63-Q63-R63-S63-T63-U63-V63-W63-X63-Y63-Z63-AA63-AB63-AC63-AD63-AE63-AF63-AG63-AH63-AI63-AJ63-AK63-AL63</f>
        <v>256</v>
      </c>
      <c r="AO63" s="21"/>
      <c r="AP63" s="21" t="str">
        <f t="shared" si="22"/>
        <v>3板+46箱</v>
      </c>
      <c r="AQ63" s="21" t="str">
        <f t="shared" si="23"/>
        <v>发过</v>
      </c>
      <c r="AR63" s="22" t="s">
        <v>343</v>
      </c>
      <c r="AS63" s="23"/>
      <c r="AT63" s="9">
        <v>70</v>
      </c>
      <c r="AU63" s="9"/>
      <c r="AV63" s="9"/>
    </row>
    <row r="64" spans="1:48">
      <c r="A64" s="12"/>
      <c r="B64" s="10"/>
      <c r="C64" s="10"/>
      <c r="D64" s="10"/>
      <c r="E64" s="10"/>
      <c r="F64" s="2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29"/>
      <c r="AQ64" s="21" t="str">
        <f t="shared" si="23"/>
        <v/>
      </c>
      <c r="AR64" s="22"/>
      <c r="AS64" s="23"/>
    </row>
    <row r="65" ht="17.65" spans="1:46">
      <c r="A65" s="12">
        <v>20379</v>
      </c>
      <c r="B65" s="10" t="s">
        <v>344</v>
      </c>
      <c r="C65" s="10" t="s">
        <v>345</v>
      </c>
      <c r="D65" s="10">
        <v>20016</v>
      </c>
      <c r="E65" s="10"/>
      <c r="F65" s="28" t="s">
        <v>346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>
        <f>10+1+17</f>
        <v>28</v>
      </c>
      <c r="T65" s="10">
        <v>10</v>
      </c>
      <c r="U65" s="10"/>
      <c r="V65" s="10"/>
      <c r="W65" s="10"/>
      <c r="X65" s="10"/>
      <c r="Y65" s="10"/>
      <c r="Z65" s="10">
        <f>5+2</f>
        <v>7</v>
      </c>
      <c r="AA65" s="10">
        <f>100+7</f>
        <v>107</v>
      </c>
      <c r="AB65" s="10">
        <f>20</f>
        <v>20</v>
      </c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26">
        <f>AN65*48</f>
        <v>11760</v>
      </c>
      <c r="AN65" s="29">
        <f>(D65/48)-G65-H65-I65-J65-K65-L65-M65-N65-O65-P65-Q65-R65-S65-T65-U65-V65-W65-X65-Y65-Z65-AA65-AB65-AC65-AD65-AE65-AF65-AG65-AH65-AI65-AJ65-AK65-AL65</f>
        <v>245</v>
      </c>
      <c r="AP65" s="21" t="str">
        <f>IF(INT(AN65/AT65)=0,MOD(AN65,AT65)&amp;"箱",INT(AN65/AT65)&amp;"板"&amp;IF(MOD(AN65,AT65)&gt;0,"+"&amp;MOD(AN65,AT65)&amp;"箱",""))</f>
        <v>3板+5箱</v>
      </c>
      <c r="AQ65" s="21" t="str">
        <f t="shared" si="23"/>
        <v>发过</v>
      </c>
      <c r="AR65" s="22" t="s">
        <v>340</v>
      </c>
      <c r="AS65" s="23"/>
      <c r="AT65" s="5">
        <v>80</v>
      </c>
    </row>
    <row r="66" spans="1:46">
      <c r="A66" s="12"/>
      <c r="B66" s="10"/>
      <c r="C66" s="10"/>
      <c r="D66" s="10"/>
      <c r="E66" s="10"/>
      <c r="F66" s="2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29"/>
      <c r="AQ66" s="21" t="str">
        <f t="shared" si="23"/>
        <v/>
      </c>
      <c r="AR66" s="22"/>
      <c r="AS66" s="23"/>
    </row>
    <row r="67" ht="17.65" spans="1:46">
      <c r="A67" s="12">
        <v>20851</v>
      </c>
      <c r="B67" s="10" t="s">
        <v>347</v>
      </c>
      <c r="C67" s="10" t="s">
        <v>348</v>
      </c>
      <c r="D67" s="10">
        <v>20000</v>
      </c>
      <c r="E67" s="10"/>
      <c r="F67" s="28" t="s">
        <v>349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f>2</f>
        <v>2</v>
      </c>
      <c r="AE67" s="10">
        <f>25</f>
        <v>25</v>
      </c>
      <c r="AF67" s="10"/>
      <c r="AG67" s="10"/>
      <c r="AH67" s="10"/>
      <c r="AI67" s="10"/>
      <c r="AJ67" s="10"/>
      <c r="AK67" s="10"/>
      <c r="AL67" s="10"/>
      <c r="AM67" s="26">
        <f>40*AN67</f>
        <v>18920</v>
      </c>
      <c r="AN67" s="29">
        <f>(D67/40)-G67-H67-I67-J67-K67-L67-M67-N67-O67-P67-Q67-R67-S67-T67-U67-V67-W67-X67-Y67-Z67-AA67-AB67-AC67-AD67-AE67-AF67-AG67-AH67-AI67-AJ67-AK67-AL67</f>
        <v>473</v>
      </c>
      <c r="AP67" s="21" t="str">
        <f>IF(INT(AN67/AT67)=0,MOD(AN67,AT67)&amp;"箱",INT(AN67/AT67)&amp;"板"&amp;IF(MOD(AN67,AT67)&gt;0,"+"&amp;MOD(AN67,AT67)&amp;"箱",""))</f>
        <v>9板+23箱</v>
      </c>
      <c r="AQ67" s="21" t="str">
        <f t="shared" si="23"/>
        <v>发过</v>
      </c>
      <c r="AR67" s="22" t="s">
        <v>350</v>
      </c>
      <c r="AS67" s="23"/>
      <c r="AT67" s="5">
        <v>50</v>
      </c>
    </row>
    <row r="68" spans="1:46">
      <c r="A68" s="12"/>
      <c r="B68" s="10"/>
      <c r="C68" s="10"/>
      <c r="D68" s="10"/>
      <c r="E68" s="10"/>
      <c r="F68" s="2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29"/>
      <c r="AQ68" s="21" t="str">
        <f t="shared" si="23"/>
        <v/>
      </c>
      <c r="AR68" s="22"/>
      <c r="AS68" s="23"/>
    </row>
    <row r="69" spans="1:46">
      <c r="A69" s="12"/>
      <c r="B69" s="10"/>
      <c r="C69" s="10"/>
      <c r="D69" s="10"/>
      <c r="E69" s="10"/>
      <c r="F69" s="2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29"/>
      <c r="AQ69" s="21" t="str">
        <f t="shared" si="23"/>
        <v/>
      </c>
      <c r="AR69" s="22"/>
      <c r="AS69" s="23"/>
    </row>
    <row r="70" spans="1:46">
      <c r="A70" s="12"/>
      <c r="B70" s="10"/>
      <c r="C70" s="10"/>
      <c r="D70" s="10"/>
      <c r="E70" s="10"/>
      <c r="F70" s="2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29"/>
      <c r="AQ70" s="21" t="str">
        <f t="shared" si="23"/>
        <v/>
      </c>
      <c r="AR70" s="22"/>
      <c r="AS70" s="23"/>
    </row>
    <row r="71" spans="1:46">
      <c r="A71" s="12"/>
      <c r="B71" s="10"/>
      <c r="C71" s="10"/>
      <c r="D71" s="10"/>
      <c r="E71" s="10"/>
      <c r="F71" s="2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29"/>
      <c r="AQ71" s="21" t="str">
        <f t="shared" si="23"/>
        <v/>
      </c>
      <c r="AR71" s="22"/>
      <c r="AS71" s="23"/>
    </row>
    <row r="72" spans="1:46">
      <c r="A72" s="12"/>
      <c r="B72" s="10"/>
      <c r="C72" s="10"/>
      <c r="D72" s="10"/>
      <c r="E72" s="10"/>
      <c r="F72" s="2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29"/>
      <c r="AQ72" s="21" t="str">
        <f t="shared" si="23"/>
        <v/>
      </c>
      <c r="AR72" s="22"/>
      <c r="AS72" s="23"/>
    </row>
    <row r="73" spans="1:46">
      <c r="A73" s="12"/>
      <c r="B73" s="10"/>
      <c r="C73" s="10"/>
      <c r="D73" s="10"/>
      <c r="E73" s="10"/>
      <c r="F73" s="2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29"/>
      <c r="AQ73" s="21" t="str">
        <f t="shared" si="23"/>
        <v/>
      </c>
      <c r="AR73" s="22"/>
      <c r="AS73" s="23"/>
    </row>
    <row r="74" spans="1:46">
      <c r="A74" s="12"/>
      <c r="B74" s="10"/>
      <c r="C74" s="10"/>
      <c r="D74" s="10"/>
      <c r="E74" s="10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29"/>
      <c r="AQ74" s="21" t="str">
        <f t="shared" si="23"/>
        <v/>
      </c>
      <c r="AR74" s="22"/>
      <c r="AS74" s="23"/>
    </row>
    <row r="75" spans="1:46">
      <c r="A75" s="12"/>
      <c r="B75" s="10"/>
      <c r="C75" s="10"/>
      <c r="D75" s="10"/>
      <c r="E75" s="10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29"/>
      <c r="AQ75" s="21" t="str">
        <f t="shared" si="23"/>
        <v/>
      </c>
      <c r="AR75" s="22"/>
      <c r="AS75" s="23"/>
    </row>
    <row r="76" spans="1:46">
      <c r="A76" s="12"/>
      <c r="B76" s="10"/>
      <c r="C76" s="10"/>
      <c r="D76" s="10"/>
      <c r="E76" s="10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29"/>
      <c r="AQ76" s="21" t="str">
        <f t="shared" si="23"/>
        <v/>
      </c>
      <c r="AR76" s="22"/>
      <c r="AS76" s="23"/>
    </row>
    <row r="77" spans="1:46">
      <c r="A77" s="12"/>
      <c r="B77" s="10"/>
      <c r="C77" s="10"/>
      <c r="D77" s="10"/>
      <c r="E77" s="10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29"/>
      <c r="AQ77" s="21" t="str">
        <f t="shared" si="23"/>
        <v/>
      </c>
      <c r="AR77" s="22"/>
      <c r="AS77" s="23"/>
    </row>
    <row r="78" spans="1:46">
      <c r="A78" s="12"/>
      <c r="B78" s="10"/>
      <c r="C78" s="10"/>
      <c r="D78" s="10"/>
      <c r="E78" s="10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29"/>
      <c r="AQ78" s="21" t="str">
        <f t="shared" si="23"/>
        <v/>
      </c>
      <c r="AR78" s="22"/>
      <c r="AS78" s="23"/>
    </row>
    <row r="79" spans="1:46">
      <c r="A79" s="12"/>
      <c r="B79" s="10"/>
      <c r="C79" s="10"/>
      <c r="D79" s="10"/>
      <c r="E79" s="10"/>
      <c r="F79" s="7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29"/>
      <c r="AQ79" s="21" t="str">
        <f t="shared" si="23"/>
        <v/>
      </c>
      <c r="AR79" s="22"/>
      <c r="AS79" s="23"/>
    </row>
    <row r="80" spans="1:46">
      <c r="A80" s="12"/>
      <c r="B80" s="10"/>
      <c r="C80" s="10"/>
      <c r="D80" s="10"/>
      <c r="E80" s="10"/>
      <c r="F80" s="7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29"/>
      <c r="AQ80" s="21" t="str">
        <f t="shared" si="23"/>
        <v/>
      </c>
      <c r="AR80" s="22"/>
      <c r="AS80" s="23"/>
    </row>
    <row r="81" spans="1:45">
      <c r="A81" s="12"/>
      <c r="B81" s="10"/>
      <c r="C81" s="10"/>
      <c r="D81" s="10"/>
      <c r="E81" s="10"/>
      <c r="F81" s="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29"/>
      <c r="AR81" s="22"/>
      <c r="AS81" s="23"/>
    </row>
    <row r="82" spans="1:45">
      <c r="A82" s="12"/>
      <c r="B82" s="10"/>
      <c r="C82" s="10"/>
      <c r="D82" s="10"/>
      <c r="E82" s="10"/>
      <c r="F82" s="7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29"/>
      <c r="AR82" s="22"/>
      <c r="AS82" s="23"/>
    </row>
    <row r="83" spans="1:45">
      <c r="A83" s="12"/>
      <c r="B83" s="10"/>
      <c r="C83" s="10"/>
      <c r="D83" s="10"/>
      <c r="E83" s="10"/>
      <c r="F83" s="7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29"/>
      <c r="AR83" s="22"/>
      <c r="AS83" s="23"/>
    </row>
    <row r="84" spans="1:45">
      <c r="A84" s="12"/>
      <c r="B84" s="10"/>
      <c r="C84" s="10"/>
      <c r="D84" s="10"/>
      <c r="E84" s="10"/>
      <c r="F84" s="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29"/>
      <c r="AR84" s="22"/>
      <c r="AS84" s="23"/>
    </row>
    <row r="85" spans="1:45">
      <c r="A85" s="12"/>
      <c r="B85" s="10"/>
      <c r="C85" s="10"/>
      <c r="D85" s="10"/>
      <c r="E85" s="10"/>
      <c r="F85" s="7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29"/>
      <c r="AR85" s="22"/>
      <c r="AS85" s="23"/>
    </row>
    <row r="86" spans="1:45">
      <c r="A86" s="12"/>
      <c r="B86" s="10"/>
      <c r="C86" s="10"/>
      <c r="D86" s="10"/>
      <c r="E86" s="10"/>
      <c r="F86" s="7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29"/>
      <c r="AR86" s="22"/>
      <c r="AS86" s="23"/>
    </row>
    <row r="87" spans="1:45">
      <c r="A87" s="12"/>
      <c r="B87" s="10"/>
      <c r="C87" s="10"/>
      <c r="D87" s="10"/>
      <c r="E87" s="10"/>
      <c r="F87" s="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29"/>
      <c r="AR87" s="22"/>
      <c r="AS87" s="23"/>
    </row>
    <row r="88" spans="1:45">
      <c r="A88" s="12"/>
      <c r="B88" s="10"/>
      <c r="C88" s="10"/>
      <c r="D88" s="10"/>
      <c r="E88" s="10"/>
      <c r="F88" s="7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29"/>
      <c r="AR88" s="22"/>
      <c r="AS88" s="23"/>
    </row>
    <row r="89" spans="1:45">
      <c r="A89" s="12"/>
      <c r="B89" s="10"/>
      <c r="C89" s="10"/>
      <c r="D89" s="10"/>
      <c r="E89" s="10"/>
      <c r="F89" s="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29"/>
      <c r="AR89" s="22"/>
      <c r="AS89" s="23"/>
    </row>
    <row r="90" spans="1:45">
      <c r="A90" s="12"/>
      <c r="B90" s="10"/>
      <c r="C90" s="10"/>
      <c r="D90" s="10"/>
      <c r="E90" s="10"/>
      <c r="F90" s="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29"/>
      <c r="AR90" s="22"/>
      <c r="AS90" s="23"/>
    </row>
    <row r="91" spans="1:45">
      <c r="A91" s="12"/>
      <c r="B91" s="10"/>
      <c r="C91" s="10"/>
      <c r="D91" s="10"/>
      <c r="E91" s="10"/>
      <c r="F91" s="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29"/>
      <c r="AR91" s="22"/>
      <c r="AS91" s="23"/>
    </row>
    <row r="92" spans="1:45">
      <c r="A92" s="12"/>
      <c r="B92" s="10"/>
      <c r="C92" s="10"/>
      <c r="D92" s="10"/>
      <c r="E92" s="10"/>
      <c r="F92" s="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29"/>
      <c r="AR92" s="22"/>
      <c r="AS92" s="23"/>
    </row>
    <row r="93" spans="1:45">
      <c r="A93" s="12"/>
      <c r="B93" s="10"/>
      <c r="C93" s="10"/>
      <c r="D93" s="10"/>
      <c r="E93" s="10"/>
      <c r="F93" s="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29"/>
      <c r="AR93" s="22"/>
      <c r="AS93" s="23"/>
    </row>
    <row r="94" spans="1:45">
      <c r="A94" s="12"/>
      <c r="B94" s="10"/>
      <c r="C94" s="10"/>
      <c r="D94" s="10"/>
      <c r="E94" s="10"/>
      <c r="F94" s="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29"/>
      <c r="AR94" s="22"/>
      <c r="AS94" s="23"/>
    </row>
    <row r="95" spans="1:45">
      <c r="A95" s="12"/>
      <c r="B95" s="10"/>
      <c r="C95" s="10"/>
      <c r="D95" s="10"/>
      <c r="E95" s="10"/>
      <c r="F95" s="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29"/>
      <c r="AR95" s="22"/>
      <c r="AS95" s="23"/>
    </row>
    <row r="96" spans="1:45">
      <c r="A96" s="12"/>
      <c r="B96" s="10"/>
      <c r="C96" s="10"/>
      <c r="D96" s="10"/>
      <c r="E96" s="10"/>
      <c r="F96" s="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29"/>
      <c r="AR96" s="22"/>
      <c r="AS96" s="23"/>
    </row>
    <row r="97" spans="1:45">
      <c r="A97" s="12"/>
      <c r="B97" s="10"/>
      <c r="C97" s="10"/>
      <c r="D97" s="10"/>
      <c r="E97" s="10"/>
      <c r="F97" s="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29"/>
      <c r="AR97" s="22"/>
      <c r="AS97" s="23"/>
    </row>
    <row r="98" spans="1:45">
      <c r="A98" s="12"/>
      <c r="B98" s="10"/>
      <c r="C98" s="10"/>
      <c r="D98" s="10"/>
      <c r="E98" s="10"/>
      <c r="F98" s="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29"/>
      <c r="AR98" s="22"/>
      <c r="AS98" s="23"/>
    </row>
    <row r="99" spans="1:45">
      <c r="A99" s="12"/>
      <c r="B99" s="10"/>
      <c r="C99" s="10"/>
      <c r="D99" s="10"/>
      <c r="E99" s="10"/>
      <c r="F99" s="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29"/>
      <c r="AR99" s="22"/>
      <c r="AS99" s="23"/>
    </row>
    <row r="100" spans="1:45">
      <c r="A100" s="12"/>
      <c r="B100" s="10"/>
      <c r="C100" s="10"/>
      <c r="D100" s="10"/>
      <c r="E100" s="10"/>
      <c r="F100" s="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29"/>
      <c r="AR100" s="22"/>
      <c r="AS100" s="23"/>
    </row>
    <row r="101" spans="1:45">
      <c r="A101" s="12"/>
      <c r="B101" s="10"/>
      <c r="C101" s="10"/>
      <c r="D101" s="10"/>
      <c r="E101" s="10"/>
      <c r="F101" s="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29"/>
      <c r="AR101" s="22"/>
      <c r="AS101" s="23"/>
    </row>
    <row r="102" spans="1:45">
      <c r="A102" s="12"/>
      <c r="B102" s="10"/>
      <c r="C102" s="10"/>
      <c r="D102" s="10"/>
      <c r="E102" s="10"/>
      <c r="F102" s="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29"/>
      <c r="AR102" s="22"/>
      <c r="AS102" s="23"/>
    </row>
    <row r="103" spans="1:45">
      <c r="A103" s="12"/>
      <c r="B103" s="10"/>
      <c r="C103" s="10"/>
      <c r="D103" s="10"/>
      <c r="E103" s="10"/>
      <c r="F103" s="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29"/>
      <c r="AR103" s="22"/>
      <c r="AS103" s="23"/>
    </row>
    <row r="104" spans="1:45">
      <c r="A104" s="12"/>
      <c r="B104" s="10"/>
      <c r="C104" s="10"/>
      <c r="D104" s="10"/>
      <c r="E104" s="10"/>
      <c r="F104" s="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29"/>
      <c r="AR104" s="22"/>
      <c r="AS104" s="23"/>
    </row>
    <row r="105" spans="1:45">
      <c r="A105" s="12"/>
      <c r="B105" s="10"/>
      <c r="C105" s="10"/>
      <c r="D105" s="10"/>
      <c r="E105" s="10"/>
      <c r="F105" s="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29"/>
      <c r="AR105" s="22"/>
      <c r="AS105" s="23"/>
    </row>
    <row r="106" spans="1:45">
      <c r="A106" s="12"/>
      <c r="B106" s="10"/>
      <c r="C106" s="10"/>
      <c r="D106" s="10"/>
      <c r="E106" s="10"/>
      <c r="F106" s="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29"/>
      <c r="AR106" s="22"/>
      <c r="AS106" s="23"/>
    </row>
    <row r="107" spans="1:45">
      <c r="A107" s="12"/>
      <c r="B107" s="7"/>
      <c r="C107" s="7"/>
      <c r="D107" s="7"/>
      <c r="E107" s="7"/>
      <c r="F107" s="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29"/>
      <c r="AR107" s="22"/>
      <c r="AS107" s="23"/>
    </row>
  </sheetData>
  <mergeCells count="104">
    <mergeCell ref="AR1:AS1"/>
    <mergeCell ref="AR2:AS2"/>
    <mergeCell ref="AR3:AS3"/>
    <mergeCell ref="AR4:AS4"/>
    <mergeCell ref="AR5:AS5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浙江仓1月每日库存</vt:lpstr>
      <vt:lpstr>浙江仓2月每日库存 </vt:lpstr>
      <vt:lpstr>浙江仓3月每日库存  </vt:lpstr>
      <vt:lpstr>浙江仓4月每日库存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Paramita</cp:lastModifiedBy>
  <dcterms:created xsi:type="dcterms:W3CDTF">2025-02-21T03:12:00Z</dcterms:created>
  <dcterms:modified xsi:type="dcterms:W3CDTF">2026-04-26T10:59:08Z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CB8C6CF7FC4248EAAE7E23436834A10C_11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